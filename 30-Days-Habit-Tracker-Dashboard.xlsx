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0a27f8817e01486/Desktop/"/>
    </mc:Choice>
  </mc:AlternateContent>
  <xr:revisionPtr revIDLastSave="15" documentId="8_{7FA99E46-7AFD-4F17-99FB-079557A4C32B}" xr6:coauthVersionLast="47" xr6:coauthVersionMax="47" xr10:uidLastSave="{C28C5CEC-53E0-4C42-A189-77ABB25DF4A0}"/>
  <bookViews>
    <workbookView xWindow="-108" yWindow="-108" windowWidth="23256" windowHeight="12576" tabRatio="613" activeTab="5" xr2:uid="{59B04889-B307-4186-9EDB-03C065F7460C}"/>
  </bookViews>
  <sheets>
    <sheet name="DASSBOARD" sheetId="2" r:id="rId1"/>
    <sheet name="Sheet1" sheetId="1" r:id="rId2"/>
    <sheet name="Sheet2" sheetId="4" r:id="rId3"/>
    <sheet name="Sheet3" sheetId="3" r:id="rId4"/>
    <sheet name="final project" sheetId="5" r:id="rId5"/>
    <sheet name="Sheet4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43" i="1" l="1"/>
  <c r="AI44" i="1"/>
  <c r="AI42" i="1"/>
  <c r="AI18" i="1"/>
  <c r="AI15" i="1"/>
  <c r="AI16" i="1"/>
  <c r="AI17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E30" i="6"/>
  <c r="AF9" i="1" s="1"/>
  <c r="AG9" i="1" s="1"/>
  <c r="AF5" i="1"/>
  <c r="AG5" i="1" s="1"/>
  <c r="Q24" i="5"/>
  <c r="R20" i="5"/>
  <c r="E32" i="2"/>
  <c r="K32" i="2"/>
  <c r="AF8" i="1"/>
  <c r="AG8" i="1" s="1"/>
  <c r="AJ48" i="1"/>
  <c r="AJ49" i="1"/>
  <c r="AJ50" i="1"/>
  <c r="AJ51" i="1"/>
  <c r="AJ52" i="1"/>
  <c r="AJ53" i="1"/>
  <c r="AJ54" i="1"/>
  <c r="AJ55" i="1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C32" i="2"/>
  <c r="D32" i="2"/>
  <c r="F32" i="2"/>
  <c r="G32" i="2"/>
  <c r="H32" i="2"/>
  <c r="I32" i="2"/>
  <c r="J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C34" i="2"/>
  <c r="D34" i="2"/>
  <c r="E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C38" i="2"/>
  <c r="D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B32" i="2"/>
  <c r="B33" i="2"/>
  <c r="B34" i="2"/>
  <c r="B35" i="2"/>
  <c r="B36" i="2"/>
  <c r="B37" i="2"/>
  <c r="B38" i="2"/>
  <c r="B39" i="2"/>
  <c r="B40" i="2"/>
  <c r="B31" i="2"/>
  <c r="C41" i="2"/>
  <c r="D41" i="2"/>
  <c r="E41" i="2"/>
  <c r="F41" i="2"/>
  <c r="G41" i="2"/>
  <c r="H41" i="2"/>
  <c r="I41" i="2"/>
  <c r="J41" i="2"/>
  <c r="B41" i="2"/>
  <c r="AF2" i="1"/>
  <c r="AG2" i="1" s="1"/>
  <c r="AF3" i="1"/>
  <c r="AG3" i="1" s="1"/>
  <c r="AF4" i="1"/>
  <c r="AG4" i="1" s="1"/>
  <c r="AF6" i="1"/>
  <c r="AG6" i="1" s="1"/>
  <c r="AF7" i="1"/>
  <c r="AF10" i="1"/>
  <c r="AG10" i="1" s="1"/>
  <c r="AF11" i="1"/>
  <c r="AG11" i="1" s="1"/>
  <c r="E38" i="2" l="1"/>
  <c r="F34" i="2"/>
  <c r="A26" i="2"/>
  <c r="AQ11" i="2"/>
  <c r="AG7" i="1"/>
  <c r="AO11" i="2" s="1"/>
  <c r="AG13" i="1" l="1"/>
  <c r="N2" i="2" s="1"/>
  <c r="N3" i="2" s="1"/>
  <c r="N2" i="3" l="1"/>
</calcChain>
</file>

<file path=xl/sharedStrings.xml><?xml version="1.0" encoding="utf-8"?>
<sst xmlns="http://schemas.openxmlformats.org/spreadsheetml/2006/main" count="162" uniqueCount="101">
  <si>
    <t>WAKE UP AT 5 :30 ⏰</t>
  </si>
  <si>
    <t xml:space="preserve">Reading /Learning </t>
  </si>
  <si>
    <t>Noo Gooning</t>
  </si>
  <si>
    <t>Cold Shower</t>
  </si>
  <si>
    <t>Leaning skill</t>
  </si>
  <si>
    <t>Coding</t>
  </si>
  <si>
    <t>Temple</t>
  </si>
  <si>
    <t>Walking /Step</t>
  </si>
  <si>
    <t>Online Study</t>
  </si>
  <si>
    <t xml:space="preserve">GYM  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</si>
  <si>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</si>
  <si>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</si>
  <si>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</si>
  <si>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</si>
  <si>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</si>
  <si>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</si>
  <si>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</si>
  <si>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</si>
  <si>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</si>
  <si>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</si>
  <si>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</si>
  <si>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</si>
  <si>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</si>
  <si>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</si>
  <si>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</si>
  <si>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</si>
  <si>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</si>
  <si>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</si>
  <si>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</si>
  <si>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</si>
  <si>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</si>
  <si>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</si>
  <si>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</si>
  <si>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26</t>
  </si>
  <si>
    <t>Day 27</t>
  </si>
  <si>
    <t>Day 28</t>
  </si>
  <si>
    <t>Day 29</t>
  </si>
  <si>
    <t>Day 30</t>
  </si>
  <si>
    <t>Day 13</t>
  </si>
  <si>
    <t>Day 25</t>
  </si>
  <si>
    <t>Total</t>
  </si>
  <si>
    <t>PROGRESS %</t>
  </si>
  <si>
    <t>OVERALL PROGRESS</t>
  </si>
  <si>
    <t xml:space="preserve">30 DAYS HABIT TRACKER </t>
  </si>
  <si>
    <t>TOP HABBIT</t>
  </si>
  <si>
    <t>TOTAL COMPLETE</t>
  </si>
  <si>
    <t>30 DAYS</t>
  </si>
  <si>
    <t>HABBIT TRACKER</t>
  </si>
  <si>
    <t>DAY</t>
  </si>
  <si>
    <t>COMPLETE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</si>
  <si>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</si>
  <si>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</si>
  <si>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</si>
  <si>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</si>
  <si>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</si>
  <si>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</si>
  <si>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</si>
  <si>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</si>
  <si>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</si>
  <si>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</si>
  <si>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</si>
  <si>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</si>
  <si>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</si>
  <si>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</si>
  <si>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</si>
  <si>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</si>
  <si>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</si>
  <si>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</si>
  <si>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</si>
  <si>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</si>
  <si>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</si>
  <si>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</si>
  <si>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</si>
  <si>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</si>
  <si>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</si>
  <si>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</si>
  <si>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</si>
  <si>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</si>
  <si>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</si>
  <si>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</si>
  <si>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COMPLETION RATE</t>
  </si>
  <si>
    <t>30 DAYS HABIT OVERVIEW</t>
  </si>
  <si>
    <t>WAKE UP AT 5 : 30</t>
  </si>
  <si>
    <t>GYM</t>
  </si>
  <si>
    <t>READING / LEARNING</t>
  </si>
  <si>
    <t>NOO GOONING</t>
  </si>
  <si>
    <t>DIET</t>
  </si>
  <si>
    <t>LEARNING SKILL</t>
  </si>
  <si>
    <t>CODING</t>
  </si>
  <si>
    <t>TEMPLE</t>
  </si>
  <si>
    <t xml:space="preserve">WALKING / STEP </t>
  </si>
  <si>
    <t xml:space="preserve">ONLINE STUDY </t>
  </si>
  <si>
    <t>A</t>
  </si>
  <si>
    <t>B</t>
  </si>
  <si>
    <t>complete</t>
  </si>
  <si>
    <t>remaining</t>
  </si>
  <si>
    <t>actual</t>
  </si>
  <si>
    <t>total</t>
  </si>
  <si>
    <t xml:space="preserve"> </t>
  </si>
  <si>
    <r>
      <rPr>
        <b/>
        <sz val="12"/>
        <color theme="0"/>
        <rFont val="Calibri"/>
        <family val="2"/>
        <scheme val="minor"/>
      </rPr>
      <t>30 DAYS HABIT TRACKER</t>
    </r>
    <r>
      <rPr>
        <sz val="14"/>
        <color theme="0"/>
        <rFont val="Algerian"/>
        <family val="5"/>
      </rPr>
      <t xml:space="preserve"> </t>
    </r>
  </si>
  <si>
    <r>
      <t xml:space="preserve">GYM  </t>
    </r>
    <r>
      <rPr>
        <sz val="11"/>
        <color theme="0"/>
        <rFont val="Ebrima"/>
      </rPr>
      <t xml:space="preserve"> </t>
    </r>
    <r>
      <rPr>
        <sz val="11"/>
        <color theme="0"/>
        <rFont val="Arial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</si>
</sst>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=1]&quot;✓&quot;;[=0]&quot;✗&quot;;General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 Rounded MT Bold"/>
      <family val="2"/>
    </font>
    <font>
      <sz val="14"/>
      <color theme="1"/>
      <name val="Algerian"/>
      <family val="5"/>
    </font>
    <font>
      <b/>
      <sz val="10"/>
      <color theme="1"/>
      <name val="Segoe MDL2 Assets"/>
      <family val="1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Algerian"/>
      <family val="5"/>
    </font>
    <font>
      <b/>
      <sz val="16"/>
      <color theme="1"/>
      <name val="Calibri"/>
      <family val="2"/>
      <scheme val="minor"/>
    </font>
    <font>
      <sz val="10"/>
      <color theme="1"/>
      <name val="Arial Unicode MS"/>
    </font>
    <font>
      <sz val="11"/>
      <color theme="0"/>
      <name val="Calibri"/>
      <family val="2"/>
      <scheme val="minor"/>
    </font>
    <font>
      <sz val="14"/>
      <color theme="0"/>
      <name val="Algerian"/>
      <family val="2"/>
    </font>
    <font>
      <b/>
      <sz val="12"/>
      <color theme="0"/>
      <name val="Calibri"/>
      <family val="2"/>
      <scheme val="minor"/>
    </font>
    <font>
      <sz val="14"/>
      <color theme="0"/>
      <name val="Algerian"/>
      <family val="5"/>
    </font>
    <font>
      <sz val="11"/>
      <color theme="0"/>
      <name val="Arial Rounded MT Bold"/>
      <family val="2"/>
    </font>
    <font>
      <b/>
      <sz val="10"/>
      <color theme="0"/>
      <name val="Segoe MDL2 Assets"/>
      <family val="1"/>
    </font>
    <font>
      <b/>
      <sz val="10"/>
      <color theme="0"/>
      <name val="Calibri"/>
      <family val="2"/>
      <scheme val="minor"/>
    </font>
    <font>
      <sz val="11"/>
      <color theme="0"/>
      <name val="Ebrima"/>
    </font>
    <font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theme="0"/>
      </left>
      <right style="double">
        <color theme="0"/>
      </right>
      <top style="double">
        <color theme="0"/>
      </top>
      <bottom style="double">
        <color theme="0"/>
      </bottom>
      <diagonal/>
    </border>
    <border>
      <left/>
      <right/>
      <top/>
      <bottom style="double">
        <color theme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9" fontId="0" fillId="0" borderId="0" xfId="1" applyFont="1"/>
    <xf numFmtId="0" fontId="4" fillId="0" borderId="0" xfId="0" applyFont="1"/>
    <xf numFmtId="0" fontId="3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9" fontId="11" fillId="0" borderId="0" xfId="1" applyFont="1" applyAlignment="1">
      <alignment horizontal="center"/>
    </xf>
    <xf numFmtId="0" fontId="10" fillId="0" borderId="0" xfId="0" applyFont="1"/>
    <xf numFmtId="9" fontId="12" fillId="0" borderId="0" xfId="0" applyNumberFormat="1" applyFont="1"/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9" fontId="0" fillId="0" borderId="0" xfId="0" applyNumberFormat="1"/>
    <xf numFmtId="9" fontId="14" fillId="0" borderId="0" xfId="0" applyNumberFormat="1" applyFont="1"/>
    <xf numFmtId="0" fontId="6" fillId="0" borderId="2" xfId="0" applyFont="1" applyBorder="1" applyAlignment="1">
      <alignment horizontal="center"/>
    </xf>
    <xf numFmtId="0" fontId="16" fillId="2" borderId="3" xfId="0" applyFont="1" applyFill="1" applyBorder="1"/>
    <xf numFmtId="0" fontId="15" fillId="2" borderId="3" xfId="0" applyFont="1" applyFill="1" applyBorder="1"/>
    <xf numFmtId="0" fontId="19" fillId="2" borderId="3" xfId="0" applyFont="1" applyFill="1" applyBorder="1"/>
    <xf numFmtId="0" fontId="20" fillId="2" borderId="3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Normal" xfId="0" builtinId="0"/>
    <cellStyle name="Percent" xfId="1" builtinId="5"/>
  </cellStyles>
  <dxfs count="16">
    <dxf>
      <font>
        <b/>
        <i val="0"/>
      </font>
      <numFmt numFmtId="165" formatCode="[=0]&quot;✗&quot;;;"/>
    </dxf>
    <dxf>
      <font>
        <b/>
        <i val="0"/>
      </font>
      <numFmt numFmtId="166" formatCode="[=1]&quot;✓&quot;;[=0]&quot;✗&quot;;;"/>
    </dxf>
    <dxf>
      <font>
        <color rgb="FF00B050"/>
      </font>
    </dxf>
    <dxf>
      <font>
        <color rgb="FFFF0000"/>
      </font>
    </dxf>
    <dxf>
      <font>
        <b/>
        <i val="0"/>
      </font>
      <numFmt numFmtId="165" formatCode="[=0]&quot;✗&quot;;;"/>
    </dxf>
    <dxf>
      <font>
        <b/>
        <i val="0"/>
        <u val="none"/>
      </font>
      <numFmt numFmtId="166" formatCode="[=1]&quot;✓&quot;;[=0]&quot;✗&quot;;;"/>
    </dxf>
    <dxf>
      <font>
        <b/>
        <i val="0"/>
      </font>
      <numFmt numFmtId="165" formatCode="[=0]&quot;✗&quot;;;"/>
    </dxf>
    <dxf>
      <font>
        <b/>
        <i val="0"/>
      </font>
      <numFmt numFmtId="166" formatCode="[=1]&quot;✓&quot;;[=0]&quot;✗&quot;;;"/>
    </dxf>
    <dxf>
      <font>
        <color rgb="FF00B050"/>
      </font>
    </dxf>
    <dxf>
      <font>
        <color rgb="FFFF0000"/>
      </font>
    </dxf>
    <dxf>
      <font>
        <b/>
        <i val="0"/>
      </font>
      <numFmt numFmtId="165" formatCode="[=0]&quot;✗&quot;;;"/>
    </dxf>
    <dxf>
      <font>
        <b/>
        <i val="0"/>
      </font>
      <numFmt numFmtId="166" formatCode="[=1]&quot;✓&quot;;[=0]&quot;✗&quot;;;"/>
    </dxf>
    <dxf>
      <font>
        <color rgb="FF00B050"/>
      </font>
    </dxf>
    <dxf>
      <font>
        <color rgb="FFFF0000"/>
      </font>
    </dxf>
    <dxf>
      <font>
        <b/>
        <i val="0"/>
      </font>
      <numFmt numFmtId="165" formatCode="[=0]&quot;✗&quot;;;"/>
    </dxf>
    <dxf>
      <font>
        <b/>
        <i val="0"/>
        <u val="none"/>
      </font>
      <numFmt numFmtId="166" formatCode="[=1]&quot;✓&quot;;[=0]&quot;✗&quot;;;"/>
    </dxf>
  </dxfs>
  <tableStyles count="0" defaultTableStyle="TableStyleMedium2" defaultPivotStyle="PivotStyleLight16"/>
  <colors>
    <mruColors>
      <color rgb="FFEA0000"/>
      <color rgb="FFDC0000"/>
      <color rgb="FF050505"/>
      <color rgb="FFDB0000"/>
      <color rgb="FF780000"/>
      <color rgb="FFFA0000"/>
      <color rgb="FF2D2D32"/>
      <color rgb="FFDC2000"/>
      <color rgb="FF0F0F0F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48298349119806"/>
          <c:y val="0.24214093270353418"/>
          <c:w val="0.46873691803829604"/>
          <c:h val="0.75785906729646579"/>
        </c:manualLayout>
      </c:layout>
      <c:doughnut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645982905982904"/>
          <c:y val="0.33846226138681734"/>
          <c:w val="0.44047357780842367"/>
          <c:h val="0.7532736548028115"/>
        </c:manualLayout>
      </c:layout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>
          <a:innerShdw blurRad="114300">
            <a:prstClr val="black"/>
          </a:innerShdw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accent1">
          <a:shade val="1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055555555555557"/>
          <c:y val="0"/>
          <c:w val="0.60277777777777775"/>
          <c:h val="1"/>
        </c:manualLayout>
      </c:layout>
      <c:doughnutChart>
        <c:varyColors val="1"/>
        <c:ser>
          <c:idx val="0"/>
          <c:order val="0"/>
          <c:spPr>
            <a:solidFill>
              <a:srgbClr val="2D2D32"/>
            </a:solidFill>
          </c:spPr>
          <c:dPt>
            <c:idx val="0"/>
            <c:bubble3D val="0"/>
            <c:spPr>
              <a:solidFill>
                <a:srgbClr val="78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08D-4F12-A6EC-0CD0BA2DDA2F}"/>
              </c:ext>
            </c:extLst>
          </c:dPt>
          <c:dPt>
            <c:idx val="1"/>
            <c:bubble3D val="0"/>
            <c:spPr>
              <a:solidFill>
                <a:srgbClr val="2D2D3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08D-4F12-A6EC-0CD0BA2DDA2F}"/>
              </c:ext>
            </c:extLst>
          </c:dPt>
          <c:val>
            <c:numRef>
              <c:f>DASSBOARD!$N$2:$N$3</c:f>
              <c:numCache>
                <c:formatCode>0%</c:formatCode>
                <c:ptCount val="2"/>
                <c:pt idx="0">
                  <c:v>0.25</c:v>
                </c:pt>
                <c:pt idx="1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8D-4F12-A6EC-0CD0BA2DD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Sheet1!$AG$1</c:f>
              <c:strCache>
                <c:ptCount val="1"/>
                <c:pt idx="0">
                  <c:v>PROGRESS %</c:v>
                </c:pt>
              </c:strCache>
            </c:strRef>
          </c:tx>
          <c:spPr>
            <a:solidFill>
              <a:srgbClr val="DB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Sheet4!$A$23:$A$32</c:f>
              <c:strCache>
                <c:ptCount val="10"/>
                <c:pt idx="0">
                  <c:v>WAKE UP AT 5 :30 ⏰</c:v>
                </c:pt>
                <c:pt idx="1">
                  <c:v>GYM    </c:v>
                </c:pt>
                <c:pt idx="2">
                  <c:v>Reading /Learning </c:v>
                </c:pt>
                <c:pt idx="3">
                  <c:v>Noo Gooning</c:v>
                </c:pt>
                <c:pt idx="4">
                  <c:v>Cold Shower</c:v>
                </c:pt>
                <c:pt idx="5">
                  <c:v>Leaning skill</c:v>
                </c:pt>
                <c:pt idx="6">
                  <c:v>Coding</c:v>
                </c:pt>
                <c:pt idx="7">
                  <c:v>Temple</c:v>
                </c:pt>
                <c:pt idx="8">
                  <c:v>Walking /Step</c:v>
                </c:pt>
                <c:pt idx="9">
                  <c:v>Online Study</c:v>
                </c:pt>
              </c:strCache>
            </c:strRef>
          </c:cat>
          <c:val>
            <c:numRef>
              <c:f>Sheet1!$AG$2:$AG$11</c:f>
              <c:numCache>
                <c:formatCode>0%</c:formatCode>
                <c:ptCount val="10"/>
                <c:pt idx="0">
                  <c:v>0.26666666666666666</c:v>
                </c:pt>
                <c:pt idx="1">
                  <c:v>0</c:v>
                </c:pt>
                <c:pt idx="2">
                  <c:v>0.1</c:v>
                </c:pt>
                <c:pt idx="3">
                  <c:v>0.13333333333333333</c:v>
                </c:pt>
                <c:pt idx="4">
                  <c:v>3.3333333333333333E-2</c:v>
                </c:pt>
                <c:pt idx="5">
                  <c:v>0.36666666666666664</c:v>
                </c:pt>
                <c:pt idx="6">
                  <c:v>0.46666666666666667</c:v>
                </c:pt>
                <c:pt idx="7">
                  <c:v>0.26666666666666666</c:v>
                </c:pt>
                <c:pt idx="8">
                  <c:v>0.66666666666666663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AA-4651-B878-7C390231BF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96083416"/>
        <c:axId val="596083776"/>
      </c:barChart>
      <c:catAx>
        <c:axId val="596083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083776"/>
        <c:crosses val="autoZero"/>
        <c:auto val="1"/>
        <c:lblAlgn val="ctr"/>
        <c:lblOffset val="100"/>
        <c:noMultiLvlLbl val="0"/>
      </c:catAx>
      <c:valAx>
        <c:axId val="59608377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50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083416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50505"/>
    </a:solidFill>
    <a:ln w="25400">
      <a:solidFill>
        <a:srgbClr val="FA0000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DAILY COMPLETION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3335954157582561"/>
          <c:y val="0.32686384540736679"/>
          <c:w val="0.85807426435613998"/>
          <c:h val="0.412993642413424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Sheet1!$AI$14</c:f>
              <c:strCache>
                <c:ptCount val="1"/>
                <c:pt idx="0">
                  <c:v>COMPLETE</c:v>
                </c:pt>
              </c:strCache>
            </c:strRef>
          </c:tx>
          <c:spPr>
            <a:solidFill>
              <a:srgbClr val="DC0000"/>
            </a:solidFill>
            <a:ln w="9525" cap="flat" cmpd="sng" algn="ctr">
              <a:noFill/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Sheet1!$AH$15:$AH$44</c:f>
              <c:strCache>
                <c:ptCount val="30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  <c:pt idx="10">
                  <c:v>DAY 11</c:v>
                </c:pt>
                <c:pt idx="11">
                  <c:v>DAY 12</c:v>
                </c:pt>
                <c:pt idx="12">
                  <c:v>DAY 13</c:v>
                </c:pt>
                <c:pt idx="13">
                  <c:v>DAY 14</c:v>
                </c:pt>
                <c:pt idx="14">
                  <c:v>DAY 15</c:v>
                </c:pt>
                <c:pt idx="15">
                  <c:v>DAY 16</c:v>
                </c:pt>
                <c:pt idx="16">
                  <c:v>DAY 17</c:v>
                </c:pt>
                <c:pt idx="17">
                  <c:v>DAY 18</c:v>
                </c:pt>
                <c:pt idx="18">
                  <c:v>DAY 19</c:v>
                </c:pt>
                <c:pt idx="19">
                  <c:v>DAY 20</c:v>
                </c:pt>
                <c:pt idx="20">
                  <c:v>DAY 21</c:v>
                </c:pt>
                <c:pt idx="21">
                  <c:v>DAY 22</c:v>
                </c:pt>
                <c:pt idx="22">
                  <c:v>DAY 23</c:v>
                </c:pt>
                <c:pt idx="23">
                  <c:v>DAY 24</c:v>
                </c:pt>
                <c:pt idx="24">
                  <c:v>DAY 25</c:v>
                </c:pt>
                <c:pt idx="25">
                  <c:v>DAY 26</c:v>
                </c:pt>
                <c:pt idx="26">
                  <c:v>DAY 27</c:v>
                </c:pt>
                <c:pt idx="27">
                  <c:v>DAY 28</c:v>
                </c:pt>
                <c:pt idx="28">
                  <c:v>DAY 29</c:v>
                </c:pt>
                <c:pt idx="29">
                  <c:v>DAY 30</c:v>
                </c:pt>
              </c:strCache>
            </c:strRef>
          </c:cat>
          <c:val>
            <c:numRef>
              <c:f>Sheet1!$AI$15:$AI$44</c:f>
              <c:numCache>
                <c:formatCode>General</c:formatCode>
                <c:ptCount val="30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5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7</c:v>
                </c:pt>
                <c:pt idx="2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4C-4510-86C4-F8A33E002B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2"/>
        <c:overlap val="-60"/>
        <c:axId val="569950880"/>
        <c:axId val="569951960"/>
      </c:barChart>
      <c:catAx>
        <c:axId val="569950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951960"/>
        <c:crosses val="autoZero"/>
        <c:auto val="1"/>
        <c:lblAlgn val="ctr"/>
        <c:lblOffset val="100"/>
        <c:noMultiLvlLbl val="0"/>
      </c:catAx>
      <c:valAx>
        <c:axId val="569951960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950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50505"/>
    </a:solidFill>
    <a:ln w="25400" cap="flat" cmpd="sng" algn="ctr">
      <a:solidFill>
        <a:srgbClr val="EA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ublicdomainpictures.net/en/view-image.php?image=37529&amp;picture=calendar-icons-clipart" TargetMode="External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chart" Target="../charts/chart4.xml"/><Relationship Id="rId3" Type="http://schemas.openxmlformats.org/officeDocument/2006/relationships/hyperlink" Target="https://freepngimg.com/png/84616-trophy-medal-gold-cup-download-hq-png" TargetMode="External"/><Relationship Id="rId7" Type="http://schemas.openxmlformats.org/officeDocument/2006/relationships/hyperlink" Target="https://svgsilh.com/image/304890.html" TargetMode="External"/><Relationship Id="rId12" Type="http://schemas.openxmlformats.org/officeDocument/2006/relationships/hyperlink" Target="https://freepngimg.com/png/83519-area-scalable-vector-graphics-date-calendar-red" TargetMode="External"/><Relationship Id="rId17" Type="http://schemas.openxmlformats.org/officeDocument/2006/relationships/hyperlink" Target="https://svgsilh.com/image/2026675.html" TargetMode="External"/><Relationship Id="rId2" Type="http://schemas.openxmlformats.org/officeDocument/2006/relationships/image" Target="../media/image3.png"/><Relationship Id="rId16" Type="http://schemas.openxmlformats.org/officeDocument/2006/relationships/image" Target="../media/image10.svg"/><Relationship Id="rId1" Type="http://schemas.openxmlformats.org/officeDocument/2006/relationships/chart" Target="../charts/chart3.xml"/><Relationship Id="rId6" Type="http://schemas.openxmlformats.org/officeDocument/2006/relationships/image" Target="../media/image5.svg"/><Relationship Id="rId11" Type="http://schemas.openxmlformats.org/officeDocument/2006/relationships/image" Target="../media/image8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openxmlformats.org/officeDocument/2006/relationships/hyperlink" Target="https://svgsilh.com/image/155485.html" TargetMode="External"/><Relationship Id="rId4" Type="http://schemas.openxmlformats.org/officeDocument/2006/relationships/hyperlink" Target="https://creativecommons.org/licenses/by-nc/3.0/" TargetMode="External"/><Relationship Id="rId9" Type="http://schemas.openxmlformats.org/officeDocument/2006/relationships/image" Target="../media/image7.svg"/><Relationship Id="rId1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326390</xdr:colOff>
      <xdr:row>3</xdr:row>
      <xdr:rowOff>69850</xdr:rowOff>
    </xdr:from>
    <xdr:to>
      <xdr:col>32</xdr:col>
      <xdr:colOff>75590</xdr:colOff>
      <xdr:row>12</xdr:row>
      <xdr:rowOff>10570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D4ED001-0C4C-EA47-2F97-8B7C48C51973}"/>
            </a:ext>
          </a:extLst>
        </xdr:cNvPr>
        <xdr:cNvSpPr/>
      </xdr:nvSpPr>
      <xdr:spPr>
        <a:xfrm>
          <a:off x="12835890" y="768350"/>
          <a:ext cx="2340000" cy="172507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rgbClr val="FF0000"/>
            </a:solidFill>
          </a:endParaRPr>
        </a:p>
      </xdr:txBody>
    </xdr:sp>
    <xdr:clientData/>
  </xdr:twoCellAnchor>
  <xdr:oneCellAnchor>
    <xdr:from>
      <xdr:col>35</xdr:col>
      <xdr:colOff>345783</xdr:colOff>
      <xdr:row>3</xdr:row>
      <xdr:rowOff>64585</xdr:rowOff>
    </xdr:from>
    <xdr:ext cx="184730" cy="405432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F2877B4-4ECA-3ADF-D542-08A4DA4DA89F}"/>
            </a:ext>
          </a:extLst>
        </xdr:cNvPr>
        <xdr:cNvSpPr/>
      </xdr:nvSpPr>
      <xdr:spPr>
        <a:xfrm>
          <a:off x="17274883" y="763085"/>
          <a:ext cx="184730" cy="40543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2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27</xdr:col>
      <xdr:colOff>312507</xdr:colOff>
      <xdr:row>10</xdr:row>
      <xdr:rowOff>134435</xdr:rowOff>
    </xdr:from>
    <xdr:ext cx="959943" cy="381708"/>
    <xdr:sp macro="" textlink="$AO$11">
      <xdr:nvSpPr>
        <xdr:cNvPr id="17" name="Rectangle 16">
          <a:extLst>
            <a:ext uri="{FF2B5EF4-FFF2-40B4-BE49-F238E27FC236}">
              <a16:creationId xmlns:a16="http://schemas.microsoft.com/office/drawing/2014/main" id="{F16B20E4-CE46-8EA4-1C92-CC61B58BF7BE}"/>
            </a:ext>
          </a:extLst>
        </xdr:cNvPr>
        <xdr:cNvSpPr/>
      </xdr:nvSpPr>
      <xdr:spPr>
        <a:xfrm>
          <a:off x="13426527" y="2123255"/>
          <a:ext cx="959943" cy="381708"/>
        </a:xfrm>
        <a:prstGeom prst="rect">
          <a:avLst/>
        </a:prstGeom>
        <a:noFill/>
        <a:ln>
          <a:noFill/>
        </a:ln>
      </xdr:spPr>
      <xdr:txBody>
        <a:bodyPr wrap="none" lIns="91440" tIns="45720" rIns="91440" bIns="45720">
          <a:spAutoFit/>
        </a:bodyPr>
        <a:lstStyle/>
        <a:p>
          <a:pPr algn="ctr"/>
          <a:fld id="{9525BA68-32C7-4C20-9EBC-177E4A105E6E}" type="TxLink">
            <a:rPr lang="en-US" sz="1600" b="1" i="1" u="none" strike="noStrike" cap="none" spc="0">
              <a:ln w="9525">
                <a:solidFill>
                  <a:schemeClr val="bg1"/>
                </a:solidFill>
                <a:prstDash val="solid"/>
              </a:ln>
              <a:solidFill>
                <a:srgbClr val="FF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Arial Black" panose="020B0A04020102020204" pitchFamily="34" charset="0"/>
              <a:cs typeface="Calibri"/>
            </a:rPr>
            <a:pPr algn="ctr"/>
            <a:t>Walking /Step</a:t>
          </a:fld>
          <a:endParaRPr lang="en-US" sz="1600" b="1" i="1" cap="none" spc="0">
            <a:ln w="9525">
              <a:solidFill>
                <a:schemeClr val="bg1"/>
              </a:solidFill>
              <a:prstDash val="solid"/>
            </a:ln>
            <a:solidFill>
              <a:srgbClr val="FF0000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  <a:latin typeface="Arial Black" panose="020B0A04020102020204" pitchFamily="34" charset="0"/>
          </a:endParaRPr>
        </a:p>
      </xdr:txBody>
    </xdr:sp>
    <xdr:clientData/>
  </xdr:oneCellAnchor>
  <xdr:oneCellAnchor>
    <xdr:from>
      <xdr:col>36</xdr:col>
      <xdr:colOff>53682</xdr:colOff>
      <xdr:row>10</xdr:row>
      <xdr:rowOff>58235</xdr:rowOff>
    </xdr:from>
    <xdr:ext cx="184731" cy="405432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E6C8D64-8EDF-49FD-A472-0A5F539D6C71}"/>
            </a:ext>
          </a:extLst>
        </xdr:cNvPr>
        <xdr:cNvSpPr/>
      </xdr:nvSpPr>
      <xdr:spPr>
        <a:xfrm>
          <a:off x="16982782" y="2058485"/>
          <a:ext cx="184731" cy="40543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2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563881</xdr:colOff>
      <xdr:row>9</xdr:row>
      <xdr:rowOff>185057</xdr:rowOff>
    </xdr:from>
    <xdr:to>
      <xdr:col>7</xdr:col>
      <xdr:colOff>0</xdr:colOff>
      <xdr:row>10</xdr:row>
      <xdr:rowOff>45719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90BB6BE-7442-48CE-A43C-BF136D7D23F8}"/>
            </a:ext>
          </a:extLst>
        </xdr:cNvPr>
        <xdr:cNvSpPr/>
      </xdr:nvSpPr>
      <xdr:spPr>
        <a:xfrm rot="3370397" flipH="1">
          <a:off x="4673238" y="1850571"/>
          <a:ext cx="45719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0</xdr:colOff>
      <xdr:row>2</xdr:row>
      <xdr:rowOff>0</xdr:rowOff>
    </xdr:from>
    <xdr:to>
      <xdr:col>6</xdr:col>
      <xdr:colOff>45719</xdr:colOff>
      <xdr:row>2</xdr:row>
      <xdr:rowOff>45719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EAFBB2E-438B-4BF9-81AB-A66ACF5960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13</xdr:row>
      <xdr:rowOff>0</xdr:rowOff>
    </xdr:from>
    <xdr:to>
      <xdr:col>0</xdr:col>
      <xdr:colOff>266701</xdr:colOff>
      <xdr:row>14</xdr:row>
      <xdr:rowOff>81643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E539CE4-2C74-4D71-BC6B-53CEDA18F1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0.37775</cdr:x>
      <cdr:y>0.44703</cdr:y>
    </cdr:from>
    <cdr:to>
      <cdr:x>0.64342</cdr:x>
      <cdr:y>0.64725</cdr:y>
    </cdr:to>
    <cdr:sp macro="" textlink="DASSBOARD!$N$2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C099C64C-1062-61FA-CB78-C06C7CCF8C31}"/>
            </a:ext>
          </a:extLst>
        </cdr:cNvPr>
        <cdr:cNvSpPr/>
      </cdr:nvSpPr>
      <cdr:spPr>
        <a:xfrm xmlns:a="http://schemas.openxmlformats.org/drawingml/2006/main">
          <a:off x="883937" y="808632"/>
          <a:ext cx="621675" cy="362180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none" lIns="91440" tIns="45720" rIns="91440" bIns="45720">
          <a:noAutofit/>
        </a:bodyPr>
        <a:lstStyle xmlns:a="http://schemas.openxmlformats.org/drawingml/2006/main"/>
        <a:p xmlns:a="http://schemas.openxmlformats.org/drawingml/2006/main">
          <a:pPr algn="ctr"/>
          <a:fld id="{A4D5DB36-554C-4776-88AB-DAE03C8CC7BB}" type="TxLink">
            <a:rPr lang="en-US" sz="3200" b="1" i="0" u="none" strike="noStrike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accent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Calibri"/>
              <a:cs typeface="Calibri"/>
            </a:rPr>
            <a:pPr algn="ctr"/>
            <a:t>25%</a:t>
          </a:fld>
          <a:endParaRPr lang="en-US" sz="3200" b="1" cap="none" spc="0">
            <a:ln w="9525">
              <a:solidFill>
                <a:schemeClr val="bg1"/>
              </a:solidFill>
              <a:prstDash val="solid"/>
            </a:ln>
            <a:solidFill>
              <a:schemeClr val="accent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441960</xdr:colOff>
      <xdr:row>0</xdr:row>
      <xdr:rowOff>68581</xdr:rowOff>
    </xdr:from>
    <xdr:to>
      <xdr:col>9</xdr:col>
      <xdr:colOff>350520</xdr:colOff>
      <xdr:row>2</xdr:row>
      <xdr:rowOff>24255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2267492-3733-43D6-8E71-24F068A28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89960" y="68581"/>
          <a:ext cx="1402080" cy="237614"/>
        </a:xfrm>
        <a:prstGeom prst="rect">
          <a:avLst/>
        </a:prstGeom>
      </xdr:spPr>
    </xdr:pic>
    <xdr:clientData/>
  </xdr:twoCellAnchor>
  <xdr:oneCellAnchor>
    <xdr:from>
      <xdr:col>8</xdr:col>
      <xdr:colOff>54979</xdr:colOff>
      <xdr:row>14</xdr:row>
      <xdr:rowOff>64585</xdr:rowOff>
    </xdr:from>
    <xdr:ext cx="8471801" cy="937629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D783B48B-BB9A-3E47-44E3-75FB7303C8AC}"/>
            </a:ext>
          </a:extLst>
        </xdr:cNvPr>
        <xdr:cNvSpPr/>
      </xdr:nvSpPr>
      <xdr:spPr>
        <a:xfrm>
          <a:off x="4931779" y="2624905"/>
          <a:ext cx="8471801" cy="93762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54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15</xdr:col>
      <xdr:colOff>99060</xdr:colOff>
      <xdr:row>1</xdr:row>
      <xdr:rowOff>121920</xdr:rowOff>
    </xdr:from>
    <xdr:to>
      <xdr:col>18</xdr:col>
      <xdr:colOff>220980</xdr:colOff>
      <xdr:row>7</xdr:row>
      <xdr:rowOff>15240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7385B8B-CB68-13CD-09A8-844471F87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"/>
            </a:ext>
          </a:extLst>
        </a:blip>
        <a:stretch>
          <a:fillRect/>
        </a:stretch>
      </xdr:blipFill>
      <xdr:spPr>
        <a:xfrm>
          <a:off x="9197340" y="304800"/>
          <a:ext cx="1363980" cy="944880"/>
        </a:xfrm>
        <a:prstGeom prst="rect">
          <a:avLst/>
        </a:prstGeom>
        <a:solidFill>
          <a:srgbClr val="C00000"/>
        </a:solidFill>
      </xdr:spPr>
    </xdr:pic>
    <xdr:clientData/>
  </xdr:twoCellAnchor>
  <xdr:oneCellAnchor>
    <xdr:from>
      <xdr:col>10</xdr:col>
      <xdr:colOff>356978</xdr:colOff>
      <xdr:row>16</xdr:row>
      <xdr:rowOff>34104</xdr:rowOff>
    </xdr:from>
    <xdr:ext cx="1243222" cy="576000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4099163E-4251-8BC3-8F23-D5F65E91A28F}"/>
            </a:ext>
          </a:extLst>
        </xdr:cNvPr>
        <xdr:cNvSpPr/>
      </xdr:nvSpPr>
      <xdr:spPr>
        <a:xfrm>
          <a:off x="6651098" y="2960184"/>
          <a:ext cx="1243222" cy="5760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cap="none" spc="0">
            <a:ln w="0"/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9</xdr:col>
      <xdr:colOff>299844</xdr:colOff>
      <xdr:row>0</xdr:row>
      <xdr:rowOff>0</xdr:rowOff>
    </xdr:from>
    <xdr:ext cx="2082558" cy="405432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35CC3979-A158-CA9B-7D3E-53717ECC2200}"/>
            </a:ext>
          </a:extLst>
        </xdr:cNvPr>
        <xdr:cNvSpPr/>
      </xdr:nvSpPr>
      <xdr:spPr>
        <a:xfrm>
          <a:off x="5984364" y="0"/>
          <a:ext cx="2082558" cy="40543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000" b="1" i="1" u="sng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TOTAL</a:t>
          </a:r>
          <a:r>
            <a:rPr lang="en-US" sz="2000" b="1" i="1" u="sng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COMPLETE</a:t>
          </a:r>
          <a:endParaRPr lang="en-US" sz="2000" b="1" i="1" u="sng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373380</xdr:colOff>
      <xdr:row>0</xdr:row>
      <xdr:rowOff>0</xdr:rowOff>
    </xdr:from>
    <xdr:ext cx="2141220" cy="405432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9E971E0-41EA-7626-2D61-C294C8206919}"/>
            </a:ext>
          </a:extLst>
        </xdr:cNvPr>
        <xdr:cNvSpPr/>
      </xdr:nvSpPr>
      <xdr:spPr>
        <a:xfrm>
          <a:off x="8862060" y="0"/>
          <a:ext cx="2141220" cy="40543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000" b="1" i="1" u="sng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30 DAYS</a:t>
          </a:r>
        </a:p>
      </xdr:txBody>
    </xdr:sp>
    <xdr:clientData/>
  </xdr:oneCellAnchor>
  <xdr:oneCellAnchor>
    <xdr:from>
      <xdr:col>19</xdr:col>
      <xdr:colOff>272724</xdr:colOff>
      <xdr:row>0</xdr:row>
      <xdr:rowOff>0</xdr:rowOff>
    </xdr:from>
    <xdr:ext cx="2228239" cy="405432"/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514B26B4-AF23-0A11-8189-E1EE264F4F69}"/>
            </a:ext>
          </a:extLst>
        </xdr:cNvPr>
        <xdr:cNvSpPr/>
      </xdr:nvSpPr>
      <xdr:spPr>
        <a:xfrm>
          <a:off x="11626524" y="0"/>
          <a:ext cx="2228239" cy="40543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000" b="1" i="1" u="sng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COMPLETION</a:t>
          </a:r>
          <a:r>
            <a:rPr lang="en-US" sz="2000" b="1" i="1" u="sng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RATE</a:t>
          </a:r>
          <a:endParaRPr lang="en-US" sz="2000" b="1" i="1" u="sng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361950</xdr:colOff>
      <xdr:row>0</xdr:row>
      <xdr:rowOff>23192</xdr:rowOff>
    </xdr:from>
    <xdr:to>
      <xdr:col>26</xdr:col>
      <xdr:colOff>385039</xdr:colOff>
      <xdr:row>6</xdr:row>
      <xdr:rowOff>70292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7AF2AC9-7C51-400E-916F-5A2718124002}"/>
            </a:ext>
          </a:extLst>
        </xdr:cNvPr>
        <xdr:cNvSpPr/>
      </xdr:nvSpPr>
      <xdr:spPr>
        <a:xfrm>
          <a:off x="10433050" y="23192"/>
          <a:ext cx="1826489" cy="1152000"/>
        </a:xfrm>
        <a:prstGeom prst="roundRect">
          <a:avLst>
            <a:gd name="adj" fmla="val 0"/>
          </a:avLst>
        </a:prstGeom>
        <a:solidFill>
          <a:srgbClr val="0F0F0F"/>
        </a:solidFill>
        <a:ln w="28575">
          <a:solidFill>
            <a:srgbClr val="FA0000"/>
          </a:solidFill>
        </a:ln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000" b="1"/>
            <a:t>OVER</a:t>
          </a:r>
          <a:r>
            <a:rPr lang="en-IN" sz="1000" b="1" baseline="0"/>
            <a:t>ALL PROGRESS</a:t>
          </a:r>
          <a:endParaRPr lang="en-IN" sz="1000" b="1"/>
        </a:p>
      </xdr:txBody>
    </xdr:sp>
    <xdr:clientData/>
  </xdr:twoCellAnchor>
  <xdr:twoCellAnchor>
    <xdr:from>
      <xdr:col>27</xdr:col>
      <xdr:colOff>22860</xdr:colOff>
      <xdr:row>0</xdr:row>
      <xdr:rowOff>11654</xdr:rowOff>
    </xdr:from>
    <xdr:to>
      <xdr:col>30</xdr:col>
      <xdr:colOff>444418</xdr:colOff>
      <xdr:row>6</xdr:row>
      <xdr:rowOff>60960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9C9E4C4-5C7B-4491-A96F-315A467E7AFC}"/>
            </a:ext>
          </a:extLst>
        </xdr:cNvPr>
        <xdr:cNvSpPr/>
      </xdr:nvSpPr>
      <xdr:spPr>
        <a:xfrm>
          <a:off x="12329160" y="11654"/>
          <a:ext cx="1770298" cy="1146586"/>
        </a:xfrm>
        <a:prstGeom prst="roundRect">
          <a:avLst>
            <a:gd name="adj" fmla="val 0"/>
          </a:avLst>
        </a:prstGeom>
        <a:solidFill>
          <a:srgbClr val="0F0F0F"/>
        </a:solidFill>
        <a:ln w="28575">
          <a:solidFill>
            <a:srgbClr val="FA0000"/>
          </a:solidFill>
        </a:ln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/>
            <a:t>TOP</a:t>
          </a:r>
          <a:r>
            <a:rPr lang="en-IN" sz="1100" b="1" baseline="0"/>
            <a:t> HABIT</a:t>
          </a:r>
          <a:endParaRPr lang="en-IN" sz="1100" b="1"/>
        </a:p>
      </xdr:txBody>
    </xdr:sp>
    <xdr:clientData/>
  </xdr:twoCellAnchor>
  <xdr:twoCellAnchor>
    <xdr:from>
      <xdr:col>27</xdr:col>
      <xdr:colOff>31750</xdr:colOff>
      <xdr:row>13</xdr:row>
      <xdr:rowOff>62941</xdr:rowOff>
    </xdr:from>
    <xdr:to>
      <xdr:col>30</xdr:col>
      <xdr:colOff>425450</xdr:colOff>
      <xdr:row>19</xdr:row>
      <xdr:rowOff>110041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425D6E9C-2F7A-485A-A4C7-2C81BF9A5A00}"/>
            </a:ext>
          </a:extLst>
        </xdr:cNvPr>
        <xdr:cNvSpPr/>
      </xdr:nvSpPr>
      <xdr:spPr>
        <a:xfrm>
          <a:off x="12357100" y="2456891"/>
          <a:ext cx="1746250" cy="1152000"/>
        </a:xfrm>
        <a:prstGeom prst="roundRect">
          <a:avLst>
            <a:gd name="adj" fmla="val 0"/>
          </a:avLst>
        </a:prstGeom>
        <a:solidFill>
          <a:srgbClr val="0F0F0F"/>
        </a:solidFill>
        <a:ln w="28575">
          <a:solidFill>
            <a:srgbClr val="FA0000"/>
          </a:solidFill>
        </a:ln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/>
            <a:t>COMPLETION</a:t>
          </a:r>
          <a:r>
            <a:rPr lang="en-IN" sz="1100" b="1" baseline="0"/>
            <a:t> RATE</a:t>
          </a:r>
          <a:endParaRPr lang="en-IN" sz="1100" b="1"/>
        </a:p>
      </xdr:txBody>
    </xdr:sp>
    <xdr:clientData/>
  </xdr:twoCellAnchor>
  <xdr:twoCellAnchor>
    <xdr:from>
      <xdr:col>22</xdr:col>
      <xdr:colOff>374650</xdr:colOff>
      <xdr:row>6</xdr:row>
      <xdr:rowOff>138890</xdr:rowOff>
    </xdr:from>
    <xdr:to>
      <xdr:col>26</xdr:col>
      <xdr:colOff>388062</xdr:colOff>
      <xdr:row>13</xdr:row>
      <xdr:rowOff>1840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ECD79623-F248-40EF-9F3C-861C43B41AEE}"/>
            </a:ext>
          </a:extLst>
        </xdr:cNvPr>
        <xdr:cNvSpPr/>
      </xdr:nvSpPr>
      <xdr:spPr>
        <a:xfrm>
          <a:off x="10445750" y="1243790"/>
          <a:ext cx="1816812" cy="1152000"/>
        </a:xfrm>
        <a:prstGeom prst="roundRect">
          <a:avLst>
            <a:gd name="adj" fmla="val 0"/>
          </a:avLst>
        </a:prstGeom>
        <a:solidFill>
          <a:srgbClr val="0F0F0F"/>
        </a:solidFill>
        <a:ln w="28575">
          <a:solidFill>
            <a:srgbClr val="FA0000"/>
          </a:solidFill>
        </a:ln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/>
            <a:t>TOTAL</a:t>
          </a:r>
          <a:r>
            <a:rPr lang="en-IN" sz="1100" b="1" baseline="0"/>
            <a:t> COMPLETE</a:t>
          </a:r>
          <a:endParaRPr lang="en-IN" sz="1100" b="1"/>
        </a:p>
      </xdr:txBody>
    </xdr:sp>
    <xdr:clientData/>
  </xdr:twoCellAnchor>
  <xdr:twoCellAnchor>
    <xdr:from>
      <xdr:col>27</xdr:col>
      <xdr:colOff>25400</xdr:colOff>
      <xdr:row>6</xdr:row>
      <xdr:rowOff>134484</xdr:rowOff>
    </xdr:from>
    <xdr:to>
      <xdr:col>30</xdr:col>
      <xdr:colOff>421345</xdr:colOff>
      <xdr:row>12</xdr:row>
      <xdr:rowOff>181584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D2D61E96-B3B8-4EED-A537-1B35CB2DC9F6}"/>
            </a:ext>
          </a:extLst>
        </xdr:cNvPr>
        <xdr:cNvSpPr/>
      </xdr:nvSpPr>
      <xdr:spPr>
        <a:xfrm>
          <a:off x="12350750" y="1239384"/>
          <a:ext cx="1748495" cy="1152000"/>
        </a:xfrm>
        <a:prstGeom prst="roundRect">
          <a:avLst>
            <a:gd name="adj" fmla="val 0"/>
          </a:avLst>
        </a:prstGeom>
        <a:solidFill>
          <a:srgbClr val="0F0F0F"/>
        </a:solidFill>
        <a:ln w="28575">
          <a:solidFill>
            <a:srgbClr val="FA0000"/>
          </a:solidFill>
        </a:ln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/>
            <a:t>30</a:t>
          </a:r>
          <a:r>
            <a:rPr lang="en-IN" sz="1100" b="1" baseline="0"/>
            <a:t> DAYS</a:t>
          </a:r>
          <a:endParaRPr lang="en-IN" sz="1100" b="1"/>
        </a:p>
      </xdr:txBody>
    </xdr:sp>
    <xdr:clientData/>
  </xdr:twoCellAnchor>
  <xdr:twoCellAnchor>
    <xdr:from>
      <xdr:col>23</xdr:col>
      <xdr:colOff>290944</xdr:colOff>
      <xdr:row>0</xdr:row>
      <xdr:rowOff>140278</xdr:rowOff>
    </xdr:from>
    <xdr:to>
      <xdr:col>26</xdr:col>
      <xdr:colOff>25399</xdr:colOff>
      <xdr:row>6</xdr:row>
      <xdr:rowOff>120650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0231B78-BBAE-4D5B-A565-EB6B3E4B17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24</xdr:col>
      <xdr:colOff>196273</xdr:colOff>
      <xdr:row>2</xdr:row>
      <xdr:rowOff>161059</xdr:rowOff>
    </xdr:from>
    <xdr:ext cx="452816" cy="280205"/>
    <xdr:sp macro="" textlink="DASSBOARD!N2">
      <xdr:nvSpPr>
        <xdr:cNvPr id="11" name="TextBox 10">
          <a:extLst>
            <a:ext uri="{FF2B5EF4-FFF2-40B4-BE49-F238E27FC236}">
              <a16:creationId xmlns:a16="http://schemas.microsoft.com/office/drawing/2014/main" id="{C8243140-CB78-89FA-E3F9-1FC942E157EE}"/>
            </a:ext>
          </a:extLst>
        </xdr:cNvPr>
        <xdr:cNvSpPr txBox="1"/>
      </xdr:nvSpPr>
      <xdr:spPr>
        <a:xfrm>
          <a:off x="11169073" y="529359"/>
          <a:ext cx="452816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45D70EA2-62C5-48CA-83D7-7F485069DCAD}" type="TxLink">
            <a:rPr lang="en-US" sz="1200" b="1" i="0" u="none" strike="noStrike">
              <a:solidFill>
                <a:schemeClr val="bg1"/>
              </a:solidFill>
              <a:latin typeface="Calibri"/>
              <a:cs typeface="Calibri"/>
            </a:rPr>
            <a:pPr/>
            <a:t>25%</a:t>
          </a:fld>
          <a:endParaRPr lang="en-IN" sz="1200" b="1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27</xdr:col>
      <xdr:colOff>382385</xdr:colOff>
      <xdr:row>1</xdr:row>
      <xdr:rowOff>32329</xdr:rowOff>
    </xdr:from>
    <xdr:to>
      <xdr:col>30</xdr:col>
      <xdr:colOff>47567</xdr:colOff>
      <xdr:row>4</xdr:row>
      <xdr:rowOff>163879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1F7F1EB-9AE8-4755-A28E-A0A5F8B3C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"/>
            </a:ext>
          </a:extLst>
        </a:blip>
        <a:stretch>
          <a:fillRect/>
        </a:stretch>
      </xdr:blipFill>
      <xdr:spPr>
        <a:xfrm>
          <a:off x="12688685" y="215209"/>
          <a:ext cx="1013922" cy="680190"/>
        </a:xfrm>
        <a:prstGeom prst="rect">
          <a:avLst/>
        </a:prstGeom>
      </xdr:spPr>
    </xdr:pic>
    <xdr:clientData/>
  </xdr:twoCellAnchor>
  <xdr:oneCellAnchor>
    <xdr:from>
      <xdr:col>4</xdr:col>
      <xdr:colOff>43179</xdr:colOff>
      <xdr:row>55</xdr:row>
      <xdr:rowOff>14817</xdr:rowOff>
    </xdr:from>
    <xdr:ext cx="4657371" cy="233205"/>
    <xdr:sp macro="" textlink="">
      <xdr:nvSpPr>
        <xdr:cNvPr id="14" name="TextBox 13" hidden="1">
          <a:extLst>
            <a:ext uri="{FF2B5EF4-FFF2-40B4-BE49-F238E27FC236}">
              <a16:creationId xmlns:a16="http://schemas.microsoft.com/office/drawing/2014/main" id="{5FC077F0-2971-4B31-870E-1A594DB965F7}"/>
            </a:ext>
          </a:extLst>
        </xdr:cNvPr>
        <xdr:cNvSpPr txBox="1"/>
      </xdr:nvSpPr>
      <xdr:spPr>
        <a:xfrm>
          <a:off x="2481579" y="10143067"/>
          <a:ext cx="4657371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900">
              <a:hlinkClick xmlns:r="http://schemas.openxmlformats.org/officeDocument/2006/relationships" r:id="rId3" tooltip="https://freepngimg.com/png/84616-trophy-medal-gold-cup-download-hq-png"/>
            </a:rPr>
            <a:t>This Photo</a:t>
          </a:r>
          <a:r>
            <a:rPr lang="en-IN" sz="900"/>
            <a:t> by Unknown Author is licensed under </a:t>
          </a:r>
          <a:r>
            <a:rPr lang="en-IN" sz="900">
              <a:hlinkClick xmlns:r="http://schemas.openxmlformats.org/officeDocument/2006/relationships" r:id="rId4" tooltip="https://creativecommons.org/licenses/by-nc/3.0/"/>
            </a:rPr>
            <a:t>CC BY-NC</a:t>
          </a:r>
          <a:endParaRPr lang="en-IN" sz="900"/>
        </a:p>
      </xdr:txBody>
    </xdr:sp>
    <xdr:clientData/>
  </xdr:oneCellAnchor>
  <xdr:twoCellAnchor editAs="oneCell">
    <xdr:from>
      <xdr:col>24</xdr:col>
      <xdr:colOff>150097</xdr:colOff>
      <xdr:row>8</xdr:row>
      <xdr:rowOff>117186</xdr:rowOff>
    </xdr:from>
    <xdr:to>
      <xdr:col>25</xdr:col>
      <xdr:colOff>253969</xdr:colOff>
      <xdr:row>11</xdr:row>
      <xdr:rowOff>777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1BD93789-5FCE-4FAE-86B7-974DB0926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  <a:ext uri="{837473B0-CC2E-450A-ABE3-18F120FF3D39}">
              <a1611:picAttrSrcUrl xmlns:a1611="http://schemas.microsoft.com/office/drawing/2016/11/main" r:id="rId7"/>
            </a:ext>
          </a:extLst>
        </a:blip>
        <a:stretch>
          <a:fillRect/>
        </a:stretch>
      </xdr:blipFill>
      <xdr:spPr>
        <a:xfrm>
          <a:off x="11122897" y="1590386"/>
          <a:ext cx="554722" cy="436041"/>
        </a:xfrm>
        <a:prstGeom prst="rect">
          <a:avLst/>
        </a:prstGeom>
      </xdr:spPr>
    </xdr:pic>
    <xdr:clientData/>
  </xdr:twoCellAnchor>
  <xdr:twoCellAnchor editAs="oneCell">
    <xdr:from>
      <xdr:col>28</xdr:col>
      <xdr:colOff>68036</xdr:colOff>
      <xdr:row>15</xdr:row>
      <xdr:rowOff>24493</xdr:rowOff>
    </xdr:from>
    <xdr:to>
      <xdr:col>29</xdr:col>
      <xdr:colOff>428728</xdr:colOff>
      <xdr:row>17</xdr:row>
      <xdr:rowOff>124194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E9ACC07A-3269-4333-9953-7E460C86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  <a:ext uri="{837473B0-CC2E-450A-ABE3-18F120FF3D39}">
              <a1611:picAttrSrcUrl xmlns:a1611="http://schemas.microsoft.com/office/drawing/2016/11/main" r:id="rId10"/>
            </a:ext>
          </a:extLst>
        </a:blip>
        <a:stretch>
          <a:fillRect/>
        </a:stretch>
      </xdr:blipFill>
      <xdr:spPr>
        <a:xfrm>
          <a:off x="12844236" y="2786743"/>
          <a:ext cx="811542" cy="468001"/>
        </a:xfrm>
        <a:prstGeom prst="rect">
          <a:avLst/>
        </a:prstGeom>
      </xdr:spPr>
    </xdr:pic>
    <xdr:clientData/>
  </xdr:twoCellAnchor>
  <xdr:twoCellAnchor editAs="oneCell">
    <xdr:from>
      <xdr:col>28</xdr:col>
      <xdr:colOff>200478</xdr:colOff>
      <xdr:row>8</xdr:row>
      <xdr:rowOff>59871</xdr:rowOff>
    </xdr:from>
    <xdr:to>
      <xdr:col>29</xdr:col>
      <xdr:colOff>252936</xdr:colOff>
      <xdr:row>11</xdr:row>
      <xdr:rowOff>11422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85FECAA-2CCA-0CCF-EBEF-9B58FF0D4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2"/>
            </a:ext>
          </a:extLst>
        </a:blip>
        <a:stretch>
          <a:fillRect/>
        </a:stretch>
      </xdr:blipFill>
      <xdr:spPr>
        <a:xfrm>
          <a:off x="12976678" y="1533071"/>
          <a:ext cx="503308" cy="504001"/>
        </a:xfrm>
        <a:prstGeom prst="rect">
          <a:avLst/>
        </a:prstGeom>
      </xdr:spPr>
    </xdr:pic>
    <xdr:clientData/>
  </xdr:twoCellAnchor>
  <xdr:oneCellAnchor>
    <xdr:from>
      <xdr:col>9</xdr:col>
      <xdr:colOff>203200</xdr:colOff>
      <xdr:row>52</xdr:row>
      <xdr:rowOff>125620</xdr:rowOff>
    </xdr:from>
    <xdr:ext cx="7772400" cy="50400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0A9478F-5B21-6C88-ADC7-5FF7ADB1E890}"/>
            </a:ext>
          </a:extLst>
        </xdr:cNvPr>
        <xdr:cNvSpPr txBox="1"/>
      </xdr:nvSpPr>
      <xdr:spPr>
        <a:xfrm>
          <a:off x="5689600" y="9701420"/>
          <a:ext cx="7772400" cy="504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900">
              <a:hlinkClick xmlns:r="http://schemas.openxmlformats.org/officeDocument/2006/relationships" r:id="rId12" tooltip="https://freepngimg.com/png/83519-area-scalable-vector-graphics-date-calendar-red"/>
            </a:rPr>
            <a:t>This Photo</a:t>
          </a:r>
          <a:r>
            <a:rPr lang="en-IN" sz="900"/>
            <a:t> by Unknown Author is licensed under </a:t>
          </a:r>
          <a:r>
            <a:rPr lang="en-IN" sz="900">
              <a:hlinkClick xmlns:r="http://schemas.openxmlformats.org/officeDocument/2006/relationships" r:id="rId4" tooltip="https://creativecommons.org/licenses/by-nc/3.0/"/>
            </a:rPr>
            <a:t>CC BY-NC</a:t>
          </a:r>
          <a:endParaRPr lang="en-IN" sz="900"/>
        </a:p>
      </xdr:txBody>
    </xdr:sp>
    <xdr:clientData/>
  </xdr:oneCellAnchor>
  <xdr:oneCellAnchor>
    <xdr:from>
      <xdr:col>28</xdr:col>
      <xdr:colOff>215900</xdr:colOff>
      <xdr:row>9</xdr:row>
      <xdr:rowOff>40821</xdr:rowOff>
    </xdr:from>
    <xdr:ext cx="787400" cy="483722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4232127-3BDF-0F89-D967-DF3C82203830}"/>
            </a:ext>
          </a:extLst>
        </xdr:cNvPr>
        <xdr:cNvSpPr txBox="1"/>
      </xdr:nvSpPr>
      <xdr:spPr>
        <a:xfrm>
          <a:off x="12992100" y="1698171"/>
          <a:ext cx="787400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400" b="1" i="1"/>
            <a:t>1 2 3</a:t>
          </a:r>
        </a:p>
        <a:p>
          <a:endParaRPr lang="en-IN" sz="1100" b="1" i="1"/>
        </a:p>
      </xdr:txBody>
    </xdr:sp>
    <xdr:clientData/>
  </xdr:oneCellAnchor>
  <xdr:oneCellAnchor>
    <xdr:from>
      <xdr:col>26</xdr:col>
      <xdr:colOff>206317</xdr:colOff>
      <xdr:row>4</xdr:row>
      <xdr:rowOff>140623</xdr:rowOff>
    </xdr:from>
    <xdr:ext cx="2225040" cy="280205"/>
    <xdr:sp macro="" textlink="DASSBOARD!AO11">
      <xdr:nvSpPr>
        <xdr:cNvPr id="21" name="Rectangle 20">
          <a:extLst>
            <a:ext uri="{FF2B5EF4-FFF2-40B4-BE49-F238E27FC236}">
              <a16:creationId xmlns:a16="http://schemas.microsoft.com/office/drawing/2014/main" id="{A967CE59-34C8-44ED-9C2E-9533EB7CE316}"/>
            </a:ext>
          </a:extLst>
        </xdr:cNvPr>
        <xdr:cNvSpPr/>
      </xdr:nvSpPr>
      <xdr:spPr>
        <a:xfrm>
          <a:off x="12063037" y="872143"/>
          <a:ext cx="2225040" cy="280205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fld id="{5E4EEB90-C073-488D-A950-F64E3A7F6472}" type="TxLink">
            <a:rPr lang="en-US" sz="1200" b="1" i="0" u="none" strike="noStrik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 algn="ctr"/>
            <a:t>Walking /Step</a:t>
          </a:fld>
          <a:endParaRPr lang="en-US" sz="12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22</xdr:col>
      <xdr:colOff>320964</xdr:colOff>
      <xdr:row>11</xdr:row>
      <xdr:rowOff>43295</xdr:rowOff>
    </xdr:from>
    <xdr:ext cx="2073803" cy="362136"/>
    <xdr:sp macro="" textlink="DASSBOARD!AQ11">
      <xdr:nvSpPr>
        <xdr:cNvPr id="22" name="Rectangle 21">
          <a:extLst>
            <a:ext uri="{FF2B5EF4-FFF2-40B4-BE49-F238E27FC236}">
              <a16:creationId xmlns:a16="http://schemas.microsoft.com/office/drawing/2014/main" id="{E1590CBB-BA90-401D-B8D6-DAA95BEF6CCA}"/>
            </a:ext>
          </a:extLst>
        </xdr:cNvPr>
        <xdr:cNvSpPr/>
      </xdr:nvSpPr>
      <xdr:spPr>
        <a:xfrm>
          <a:off x="10392064" y="2068945"/>
          <a:ext cx="2073803" cy="362136"/>
        </a:xfrm>
        <a:prstGeom prst="rect">
          <a:avLst/>
        </a:prstGeom>
        <a:noFill/>
      </xdr:spPr>
      <xdr:txBody>
        <a:bodyPr wrap="square" lIns="36000" tIns="45720" rIns="91440" bIns="45720">
          <a:noAutofit/>
        </a:bodyPr>
        <a:lstStyle/>
        <a:p>
          <a:pPr algn="ctr"/>
          <a:fld id="{345211E6-D3F6-4CB3-9095-F30E37960074}" type="TxLink">
            <a:rPr lang="en-US" sz="1400" b="1" i="0" u="none" strike="noStrik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 algn="ctr"/>
            <a:t>75</a:t>
          </a:fld>
          <a:endParaRPr lang="en-US" sz="14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27</xdr:col>
      <xdr:colOff>304800</xdr:colOff>
      <xdr:row>11</xdr:row>
      <xdr:rowOff>68944</xdr:rowOff>
    </xdr:from>
    <xdr:ext cx="1219188" cy="311496"/>
    <xdr:sp macro="" textlink="DASSBOARD!AQ14">
      <xdr:nvSpPr>
        <xdr:cNvPr id="23" name="Rectangle 22">
          <a:extLst>
            <a:ext uri="{FF2B5EF4-FFF2-40B4-BE49-F238E27FC236}">
              <a16:creationId xmlns:a16="http://schemas.microsoft.com/office/drawing/2014/main" id="{9707BA24-B0CC-4E0E-AF87-2B307C947CFD}"/>
            </a:ext>
          </a:extLst>
        </xdr:cNvPr>
        <xdr:cNvSpPr/>
      </xdr:nvSpPr>
      <xdr:spPr>
        <a:xfrm>
          <a:off x="12630150" y="2094594"/>
          <a:ext cx="1219188" cy="311496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fld id="{1D7EC609-9EC4-4C3E-A04D-C03FF0881CBD}" type="TxLink">
            <a:rPr lang="en-US" sz="1400" b="1" i="0" u="none" strike="noStrik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 algn="ctr"/>
            <a:t>30</a:t>
          </a:fld>
          <a:r>
            <a:rPr lang="en-US" sz="1400" b="1" i="0" u="none" strike="noStrik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t>  </a:t>
          </a:r>
          <a:endParaRPr lang="en-US" sz="14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28</xdr:col>
      <xdr:colOff>287049</xdr:colOff>
      <xdr:row>17</xdr:row>
      <xdr:rowOff>180522</xdr:rowOff>
    </xdr:from>
    <xdr:ext cx="497507" cy="311496"/>
    <xdr:sp macro="" textlink="DASSBOARD!A26">
      <xdr:nvSpPr>
        <xdr:cNvPr id="24" name="Rectangle 23">
          <a:extLst>
            <a:ext uri="{FF2B5EF4-FFF2-40B4-BE49-F238E27FC236}">
              <a16:creationId xmlns:a16="http://schemas.microsoft.com/office/drawing/2014/main" id="{2221E957-8B60-4B90-AC30-B28A2054AB63}"/>
            </a:ext>
          </a:extLst>
        </xdr:cNvPr>
        <xdr:cNvSpPr/>
      </xdr:nvSpPr>
      <xdr:spPr>
        <a:xfrm>
          <a:off x="13063249" y="3311072"/>
          <a:ext cx="497507" cy="311496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fld id="{C1499B0E-B22A-4504-9710-1E4D6F3227E9}" type="TxLink">
            <a:rPr lang="en-US" sz="1400" b="1" i="0" u="none" strike="noStrik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 algn="ctr"/>
            <a:t>25%</a:t>
          </a:fld>
          <a:endParaRPr lang="en-US" sz="14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0</xdr:col>
      <xdr:colOff>45720</xdr:colOff>
      <xdr:row>0</xdr:row>
      <xdr:rowOff>0</xdr:rowOff>
    </xdr:from>
    <xdr:to>
      <xdr:col>22</xdr:col>
      <xdr:colOff>311150</xdr:colOff>
      <xdr:row>12</xdr:row>
      <xdr:rowOff>148359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9E7CD31F-B3FD-4094-870C-8D2B31534F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53340</xdr:colOff>
      <xdr:row>12</xdr:row>
      <xdr:rowOff>175260</xdr:rowOff>
    </xdr:from>
    <xdr:to>
      <xdr:col>26</xdr:col>
      <xdr:colOff>360680</xdr:colOff>
      <xdr:row>20</xdr:row>
      <xdr:rowOff>167641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A5BAA248-731D-42E7-8053-4961FCAF9A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0</xdr:col>
      <xdr:colOff>1295413</xdr:colOff>
      <xdr:row>24</xdr:row>
      <xdr:rowOff>22860</xdr:rowOff>
    </xdr:from>
    <xdr:to>
      <xdr:col>0</xdr:col>
      <xdr:colOff>1611526</xdr:colOff>
      <xdr:row>25</xdr:row>
      <xdr:rowOff>4740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A3B83455-7AF5-7755-5F98-63BEA0356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  <a:ext uri="{837473B0-CC2E-450A-ABE3-18F120FF3D39}">
              <a1611:picAttrSrcUrl xmlns:a1611="http://schemas.microsoft.com/office/drawing/2016/11/main" r:id="rId17"/>
            </a:ext>
          </a:extLst>
        </a:blip>
        <a:stretch>
          <a:fillRect/>
        </a:stretch>
      </xdr:blipFill>
      <xdr:spPr>
        <a:xfrm>
          <a:off x="1295413" y="4572000"/>
          <a:ext cx="316113" cy="18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C6255-C5E6-4FC7-BCB4-51AF3235A6BD}">
  <dimension ref="A1:AQ59"/>
  <sheetViews>
    <sheetView zoomScale="40" zoomScaleNormal="40" zoomScaleSheetLayoutView="107" workbookViewId="0">
      <selection activeCell="N2" sqref="N2:N3"/>
    </sheetView>
  </sheetViews>
  <sheetFormatPr defaultRowHeight="14.4" x14ac:dyDescent="0.3"/>
  <cols>
    <col min="1" max="1" width="41.6640625" bestFit="1" customWidth="1"/>
    <col min="2" max="7" width="4.77734375" customWidth="1"/>
    <col min="8" max="8" width="17.109375" bestFit="1" customWidth="1"/>
    <col min="9" max="9" width="4.77734375" customWidth="1"/>
    <col min="10" max="10" width="16.21875" bestFit="1" customWidth="1"/>
    <col min="11" max="12" width="4.77734375" customWidth="1"/>
    <col min="13" max="13" width="9" bestFit="1" customWidth="1"/>
    <col min="14" max="14" width="5.6640625" bestFit="1" customWidth="1"/>
    <col min="15" max="31" width="4.77734375" customWidth="1"/>
    <col min="41" max="41" width="24.88671875" bestFit="1" customWidth="1"/>
    <col min="43" max="43" width="16.21875" bestFit="1" customWidth="1"/>
  </cols>
  <sheetData>
    <row r="1" spans="1:43" ht="25.8" x14ac:dyDescent="0.5">
      <c r="A1" s="7" t="s">
        <v>43</v>
      </c>
    </row>
    <row r="2" spans="1:43" x14ac:dyDescent="0.3">
      <c r="M2" t="s">
        <v>96</v>
      </c>
      <c r="N2" s="16">
        <f>Sheet1!AG13</f>
        <v>0.25</v>
      </c>
    </row>
    <row r="3" spans="1:43" x14ac:dyDescent="0.3">
      <c r="M3" t="s">
        <v>95</v>
      </c>
      <c r="N3" s="1">
        <f>1-N2</f>
        <v>0.75</v>
      </c>
    </row>
    <row r="4" spans="1:43" x14ac:dyDescent="0.3">
      <c r="M4" t="s">
        <v>97</v>
      </c>
      <c r="N4" s="17">
        <v>1</v>
      </c>
      <c r="AI4" s="24" t="s">
        <v>98</v>
      </c>
      <c r="AJ4" s="24"/>
      <c r="AK4" s="24"/>
      <c r="AL4" s="24"/>
    </row>
    <row r="5" spans="1:43" x14ac:dyDescent="0.3">
      <c r="AI5" s="24"/>
      <c r="AJ5" s="24"/>
      <c r="AK5" s="24"/>
      <c r="AL5" s="24"/>
    </row>
    <row r="6" spans="1:43" x14ac:dyDescent="0.3">
      <c r="AI6" s="24"/>
      <c r="AJ6" s="24"/>
      <c r="AK6" s="24"/>
      <c r="AL6" s="24"/>
    </row>
    <row r="7" spans="1:43" x14ac:dyDescent="0.3">
      <c r="AI7" s="24"/>
      <c r="AJ7" s="24"/>
      <c r="AK7" s="24"/>
      <c r="AL7" s="24"/>
    </row>
    <row r="8" spans="1:43" x14ac:dyDescent="0.3">
      <c r="AI8" s="24"/>
      <c r="AJ8" s="24"/>
      <c r="AK8" s="24"/>
      <c r="AL8" s="24"/>
    </row>
    <row r="9" spans="1:43" x14ac:dyDescent="0.3">
      <c r="AI9" s="24"/>
      <c r="AJ9" s="24"/>
      <c r="AK9" s="24"/>
      <c r="AL9" s="24"/>
    </row>
    <row r="10" spans="1:43" ht="15.6" x14ac:dyDescent="0.3">
      <c r="AI10" s="24"/>
      <c r="AJ10" s="24"/>
      <c r="AK10" s="24"/>
      <c r="AL10" s="24"/>
      <c r="AO10" s="12" t="s">
        <v>44</v>
      </c>
      <c r="AQ10" s="6" t="s">
        <v>45</v>
      </c>
    </row>
    <row r="11" spans="1:43" ht="23.4" x14ac:dyDescent="0.45">
      <c r="AI11" s="24"/>
      <c r="AJ11" s="24"/>
      <c r="AK11" s="24"/>
      <c r="AL11" s="24"/>
      <c r="AO11" s="14" t="str">
        <f>INDEX(Sheet4!A23:A32,MATCH(MAX(Sheet1!AG2:AG11),Sheet1!AG2:AG11,0))</f>
        <v>Walking /Step</v>
      </c>
      <c r="AQ11" s="15">
        <f>SUM(Sheet1!AF2:AF11)</f>
        <v>75</v>
      </c>
    </row>
    <row r="13" spans="1:43" ht="15.6" x14ac:dyDescent="0.3">
      <c r="AQ13" s="12" t="s">
        <v>46</v>
      </c>
    </row>
    <row r="14" spans="1:43" ht="23.4" x14ac:dyDescent="0.45">
      <c r="AQ14" s="15">
        <v>30</v>
      </c>
    </row>
    <row r="25" spans="1:31" ht="15.6" x14ac:dyDescent="0.3">
      <c r="A25" s="10" t="s">
        <v>80</v>
      </c>
    </row>
    <row r="26" spans="1:31" ht="23.4" x14ac:dyDescent="0.45">
      <c r="A26" s="11">
        <f>SUM(Sheet1!AF2:AF11)/(10*30)</f>
        <v>0.25</v>
      </c>
    </row>
    <row r="27" spans="1:31" x14ac:dyDescent="0.3">
      <c r="A27" s="1"/>
    </row>
    <row r="30" spans="1:31" ht="25.05" customHeight="1" x14ac:dyDescent="0.3">
      <c r="A30" s="10" t="s">
        <v>81</v>
      </c>
      <c r="B30" t="s">
        <v>50</v>
      </c>
    </row>
    <row r="31" spans="1:31" ht="19.95" customHeight="1" x14ac:dyDescent="0.3">
      <c r="A31" s="10" t="s">
        <v>82</v>
      </c>
      <c r="B31" s="9">
        <f>Sheet4!B23</f>
        <v>1</v>
      </c>
      <c r="C31" s="9">
        <f>Sheet4!C23</f>
        <v>1</v>
      </c>
      <c r="D31" s="9">
        <f>Sheet4!D23</f>
        <v>1</v>
      </c>
      <c r="E31" s="9">
        <f>Sheet4!E23</f>
        <v>1</v>
      </c>
      <c r="F31" s="9">
        <f>Sheet4!F23</f>
        <v>1</v>
      </c>
      <c r="G31" s="9">
        <f>Sheet4!G23</f>
        <v>1</v>
      </c>
      <c r="H31" s="9">
        <f>Sheet4!H23</f>
        <v>1</v>
      </c>
      <c r="I31" s="9">
        <f>Sheet4!I23</f>
        <v>0</v>
      </c>
      <c r="J31" s="9">
        <f>Sheet4!J23</f>
        <v>0</v>
      </c>
      <c r="K31" s="9">
        <f>Sheet4!K23</f>
        <v>0</v>
      </c>
      <c r="L31" s="9">
        <f>Sheet4!L23</f>
        <v>0</v>
      </c>
      <c r="M31" s="9">
        <f>Sheet4!M23</f>
        <v>0</v>
      </c>
      <c r="N31" s="9">
        <f>Sheet4!N23</f>
        <v>0</v>
      </c>
      <c r="O31" s="9">
        <f>Sheet4!O23</f>
        <v>0</v>
      </c>
      <c r="P31" s="9">
        <f>Sheet4!P23</f>
        <v>0</v>
      </c>
      <c r="Q31" s="9">
        <f>Sheet4!Q23</f>
        <v>0</v>
      </c>
      <c r="R31" s="9">
        <f>Sheet4!R23</f>
        <v>0</v>
      </c>
      <c r="S31" s="9">
        <f>Sheet4!S23</f>
        <v>0</v>
      </c>
      <c r="T31" s="9">
        <f>Sheet4!T23</f>
        <v>0</v>
      </c>
      <c r="U31" s="9">
        <f>Sheet4!U23</f>
        <v>0</v>
      </c>
      <c r="V31" s="9">
        <f>Sheet4!V23</f>
        <v>0</v>
      </c>
      <c r="W31" s="9">
        <f>Sheet4!W23</f>
        <v>0</v>
      </c>
      <c r="X31" s="9">
        <f>Sheet4!X23</f>
        <v>1</v>
      </c>
      <c r="Y31" s="9">
        <f>Sheet4!Y23</f>
        <v>0</v>
      </c>
      <c r="Z31" s="9">
        <f>Sheet4!Z23</f>
        <v>0</v>
      </c>
      <c r="AA31" s="9">
        <f>Sheet4!AA23</f>
        <v>0</v>
      </c>
      <c r="AB31" s="9">
        <f>Sheet4!AB23</f>
        <v>0</v>
      </c>
      <c r="AC31" s="9">
        <f>Sheet4!AC23</f>
        <v>0</v>
      </c>
      <c r="AD31" s="9">
        <f>Sheet4!AD23</f>
        <v>0</v>
      </c>
      <c r="AE31" s="9">
        <f>Sheet4!AE23</f>
        <v>0</v>
      </c>
    </row>
    <row r="32" spans="1:31" ht="19.95" customHeight="1" x14ac:dyDescent="0.3">
      <c r="A32" s="10" t="s">
        <v>83</v>
      </c>
      <c r="B32" s="9">
        <f>Sheet4!B24</f>
        <v>0</v>
      </c>
      <c r="C32" s="9">
        <f>Sheet4!C24</f>
        <v>0</v>
      </c>
      <c r="D32" s="9">
        <f>Sheet4!D24</f>
        <v>0</v>
      </c>
      <c r="E32" s="9">
        <f>Sheet4!E24</f>
        <v>0</v>
      </c>
      <c r="F32" s="9">
        <f>Sheet4!F24</f>
        <v>0</v>
      </c>
      <c r="G32" s="9">
        <f>Sheet4!G24</f>
        <v>0</v>
      </c>
      <c r="H32" s="9">
        <f>Sheet4!H24</f>
        <v>0</v>
      </c>
      <c r="I32" s="9">
        <f>Sheet4!I24</f>
        <v>0</v>
      </c>
      <c r="J32" s="9">
        <f>Sheet4!J24</f>
        <v>0</v>
      </c>
      <c r="K32" s="9">
        <f>Sheet4!K24</f>
        <v>0</v>
      </c>
      <c r="L32" s="9">
        <f>Sheet4!L24</f>
        <v>0</v>
      </c>
      <c r="M32" s="9">
        <f>Sheet4!M24</f>
        <v>0</v>
      </c>
      <c r="N32" s="9">
        <f>Sheet4!N24</f>
        <v>0</v>
      </c>
      <c r="O32" s="9">
        <f>Sheet4!O24</f>
        <v>0</v>
      </c>
      <c r="P32" s="9">
        <f>Sheet4!P24</f>
        <v>0</v>
      </c>
      <c r="Q32" s="9">
        <f>Sheet4!Q24</f>
        <v>0</v>
      </c>
      <c r="R32" s="9">
        <f>Sheet4!R24</f>
        <v>0</v>
      </c>
      <c r="S32" s="9">
        <f>Sheet4!S24</f>
        <v>0</v>
      </c>
      <c r="T32" s="9">
        <f>Sheet4!T24</f>
        <v>0</v>
      </c>
      <c r="U32" s="9">
        <f>Sheet4!U24</f>
        <v>0</v>
      </c>
      <c r="V32" s="9">
        <f>Sheet4!V24</f>
        <v>0</v>
      </c>
      <c r="W32" s="9">
        <f>Sheet4!W24</f>
        <v>0</v>
      </c>
      <c r="X32" s="9">
        <f>Sheet4!X24</f>
        <v>0</v>
      </c>
      <c r="Y32" s="9">
        <f>Sheet4!Y24</f>
        <v>0</v>
      </c>
      <c r="Z32" s="9">
        <f>Sheet4!Z24</f>
        <v>0</v>
      </c>
      <c r="AA32" s="9">
        <f>Sheet4!AA24</f>
        <v>0</v>
      </c>
      <c r="AB32" s="9">
        <f>Sheet4!AB24</f>
        <v>0</v>
      </c>
      <c r="AC32" s="9">
        <f>Sheet4!AC24</f>
        <v>0</v>
      </c>
      <c r="AD32" s="9">
        <f>Sheet4!AD24</f>
        <v>0</v>
      </c>
      <c r="AE32" s="9">
        <f>Sheet4!AE24</f>
        <v>0</v>
      </c>
    </row>
    <row r="33" spans="1:31" ht="19.95" customHeight="1" x14ac:dyDescent="0.3">
      <c r="A33" s="10" t="s">
        <v>84</v>
      </c>
      <c r="B33" s="9">
        <f>Sheet4!B25</f>
        <v>0</v>
      </c>
      <c r="C33" s="9">
        <f>Sheet4!C25</f>
        <v>0</v>
      </c>
      <c r="D33" s="9">
        <f>Sheet4!D25</f>
        <v>0</v>
      </c>
      <c r="E33" s="9">
        <f>Sheet4!E25</f>
        <v>0</v>
      </c>
      <c r="F33" s="9">
        <f>Sheet4!F25</f>
        <v>0</v>
      </c>
      <c r="G33" s="9">
        <f>Sheet4!G25</f>
        <v>0</v>
      </c>
      <c r="H33" s="9">
        <f>Sheet4!H25</f>
        <v>0</v>
      </c>
      <c r="I33" s="9">
        <f>Sheet4!I25</f>
        <v>0</v>
      </c>
      <c r="J33" s="9">
        <f>Sheet4!J25</f>
        <v>0</v>
      </c>
      <c r="K33" s="9">
        <f>Sheet4!K25</f>
        <v>0</v>
      </c>
      <c r="L33" s="9">
        <f>Sheet4!L25</f>
        <v>0</v>
      </c>
      <c r="M33" s="9">
        <f>Sheet4!M25</f>
        <v>0</v>
      </c>
      <c r="N33" s="9">
        <f>Sheet4!N25</f>
        <v>0</v>
      </c>
      <c r="O33" s="9">
        <f>Sheet4!O25</f>
        <v>0</v>
      </c>
      <c r="P33" s="9">
        <f>Sheet4!P25</f>
        <v>0</v>
      </c>
      <c r="Q33" s="9">
        <f>Sheet4!Q25</f>
        <v>0</v>
      </c>
      <c r="R33" s="9">
        <f>Sheet4!R25</f>
        <v>0</v>
      </c>
      <c r="S33" s="9">
        <f>Sheet4!S25</f>
        <v>1</v>
      </c>
      <c r="T33" s="9">
        <f>Sheet4!T25</f>
        <v>0</v>
      </c>
      <c r="U33" s="9">
        <f>Sheet4!U25</f>
        <v>1</v>
      </c>
      <c r="V33" s="9">
        <f>Sheet4!V25</f>
        <v>0</v>
      </c>
      <c r="W33" s="9">
        <f>Sheet4!W25</f>
        <v>0</v>
      </c>
      <c r="X33" s="9">
        <f>Sheet4!X25</f>
        <v>0</v>
      </c>
      <c r="Y33" s="9">
        <f>Sheet4!Y25</f>
        <v>0</v>
      </c>
      <c r="Z33" s="9">
        <f>Sheet4!Z25</f>
        <v>0</v>
      </c>
      <c r="AA33" s="9">
        <f>Sheet4!AA25</f>
        <v>0</v>
      </c>
      <c r="AB33" s="9">
        <f>Sheet4!AB25</f>
        <v>0</v>
      </c>
      <c r="AC33" s="9">
        <f>Sheet4!AC25</f>
        <v>0</v>
      </c>
      <c r="AD33" s="9">
        <f>Sheet4!AD25</f>
        <v>1</v>
      </c>
      <c r="AE33" s="9">
        <f>Sheet4!AE25</f>
        <v>0</v>
      </c>
    </row>
    <row r="34" spans="1:31" ht="19.95" customHeight="1" x14ac:dyDescent="0.3">
      <c r="A34" s="10" t="s">
        <v>85</v>
      </c>
      <c r="B34" s="9">
        <f>Sheet4!B26</f>
        <v>0</v>
      </c>
      <c r="C34" s="9">
        <f>Sheet4!C26</f>
        <v>0</v>
      </c>
      <c r="D34" s="9">
        <f>Sheet4!D26</f>
        <v>0</v>
      </c>
      <c r="E34" s="9">
        <f>Sheet4!E26</f>
        <v>0</v>
      </c>
      <c r="F34" s="9">
        <f>Sheet4!F26</f>
        <v>0</v>
      </c>
      <c r="G34" s="9">
        <f>Sheet4!G26</f>
        <v>0</v>
      </c>
      <c r="H34" s="9">
        <f>Sheet4!H26</f>
        <v>0</v>
      </c>
      <c r="I34" s="9">
        <f>Sheet4!I26</f>
        <v>0</v>
      </c>
      <c r="J34" s="9">
        <f>Sheet4!J26</f>
        <v>0</v>
      </c>
      <c r="K34" s="9">
        <f>Sheet4!K26</f>
        <v>0</v>
      </c>
      <c r="L34" s="9">
        <f>Sheet4!L26</f>
        <v>0</v>
      </c>
      <c r="M34" s="9">
        <f>Sheet4!M26</f>
        <v>0</v>
      </c>
      <c r="N34" s="9">
        <f>Sheet4!N26</f>
        <v>0</v>
      </c>
      <c r="O34" s="9">
        <f>Sheet4!O26</f>
        <v>0</v>
      </c>
      <c r="P34" s="9">
        <f>Sheet4!P26</f>
        <v>0</v>
      </c>
      <c r="Q34" s="9">
        <f>Sheet4!Q26</f>
        <v>0</v>
      </c>
      <c r="R34" s="9">
        <f>Sheet4!R26</f>
        <v>0</v>
      </c>
      <c r="S34" s="9">
        <f>Sheet4!S26</f>
        <v>1</v>
      </c>
      <c r="T34" s="9">
        <f>Sheet4!T26</f>
        <v>1</v>
      </c>
      <c r="U34" s="9">
        <f>Sheet4!U26</f>
        <v>1</v>
      </c>
      <c r="V34" s="9">
        <f>Sheet4!V26</f>
        <v>0</v>
      </c>
      <c r="W34" s="9">
        <f>Sheet4!W26</f>
        <v>0</v>
      </c>
      <c r="X34" s="9">
        <f>Sheet4!X26</f>
        <v>0</v>
      </c>
      <c r="Y34" s="9">
        <f>Sheet4!Y26</f>
        <v>0</v>
      </c>
      <c r="Z34" s="9">
        <f>Sheet4!Z26</f>
        <v>0</v>
      </c>
      <c r="AA34" s="9">
        <f>Sheet4!AA26</f>
        <v>0</v>
      </c>
      <c r="AB34" s="9">
        <f>Sheet4!AB26</f>
        <v>0</v>
      </c>
      <c r="AC34" s="9">
        <f>Sheet4!AC26</f>
        <v>0</v>
      </c>
      <c r="AD34" s="9">
        <f>Sheet4!AD26</f>
        <v>1</v>
      </c>
      <c r="AE34" s="9">
        <f>Sheet4!AE26</f>
        <v>0</v>
      </c>
    </row>
    <row r="35" spans="1:31" ht="19.95" customHeight="1" x14ac:dyDescent="0.3">
      <c r="A35" s="10" t="s">
        <v>86</v>
      </c>
      <c r="B35" s="9">
        <f>Sheet4!B27</f>
        <v>0</v>
      </c>
      <c r="C35" s="9">
        <f>Sheet4!C27</f>
        <v>0</v>
      </c>
      <c r="D35" s="9">
        <f>Sheet4!D27</f>
        <v>0</v>
      </c>
      <c r="E35" s="9">
        <f>Sheet4!E27</f>
        <v>0</v>
      </c>
      <c r="F35" s="9">
        <f>Sheet4!F27</f>
        <v>0</v>
      </c>
      <c r="G35" s="9">
        <f>Sheet4!G27</f>
        <v>0</v>
      </c>
      <c r="H35" s="9">
        <f>Sheet4!H27</f>
        <v>0</v>
      </c>
      <c r="I35" s="9">
        <f>Sheet4!I27</f>
        <v>0</v>
      </c>
      <c r="J35" s="9">
        <f>Sheet4!J27</f>
        <v>0</v>
      </c>
      <c r="K35" s="9">
        <f>Sheet4!K27</f>
        <v>0</v>
      </c>
      <c r="L35" s="9">
        <f>Sheet4!L27</f>
        <v>0</v>
      </c>
      <c r="M35" s="9">
        <f>Sheet4!M27</f>
        <v>0</v>
      </c>
      <c r="N35" s="9">
        <f>Sheet4!N27</f>
        <v>0</v>
      </c>
      <c r="O35" s="9">
        <f>Sheet4!O27</f>
        <v>0</v>
      </c>
      <c r="P35" s="9">
        <f>Sheet4!P27</f>
        <v>0</v>
      </c>
      <c r="Q35" s="9">
        <f>Sheet4!Q27</f>
        <v>0</v>
      </c>
      <c r="R35" s="9">
        <f>Sheet4!R27</f>
        <v>0</v>
      </c>
      <c r="S35" s="9">
        <f>Sheet4!S27</f>
        <v>0</v>
      </c>
      <c r="T35" s="9">
        <f>Sheet4!T27</f>
        <v>0</v>
      </c>
      <c r="U35" s="9">
        <f>Sheet4!U27</f>
        <v>0</v>
      </c>
      <c r="V35" s="9">
        <f>Sheet4!V27</f>
        <v>0</v>
      </c>
      <c r="W35" s="9">
        <f>Sheet4!W27</f>
        <v>0</v>
      </c>
      <c r="X35" s="9">
        <f>Sheet4!X27</f>
        <v>0</v>
      </c>
      <c r="Y35" s="9">
        <f>Sheet4!Y27</f>
        <v>0</v>
      </c>
      <c r="Z35" s="9">
        <f>Sheet4!Z27</f>
        <v>0</v>
      </c>
      <c r="AA35" s="9">
        <f>Sheet4!AA27</f>
        <v>0</v>
      </c>
      <c r="AB35" s="9">
        <f>Sheet4!AB27</f>
        <v>0</v>
      </c>
      <c r="AC35" s="9">
        <f>Sheet4!AC27</f>
        <v>0</v>
      </c>
      <c r="AD35" s="9">
        <f>Sheet4!AD27</f>
        <v>1</v>
      </c>
      <c r="AE35" s="9">
        <f>Sheet4!AE27</f>
        <v>0</v>
      </c>
    </row>
    <row r="36" spans="1:31" ht="19.95" customHeight="1" x14ac:dyDescent="0.3">
      <c r="A36" s="10" t="s">
        <v>87</v>
      </c>
      <c r="B36" s="9">
        <f>Sheet4!B28</f>
        <v>0</v>
      </c>
      <c r="C36" s="9">
        <f>Sheet4!C28</f>
        <v>0</v>
      </c>
      <c r="D36" s="9">
        <f>Sheet4!D28</f>
        <v>0</v>
      </c>
      <c r="E36" s="9">
        <f>Sheet4!E28</f>
        <v>0</v>
      </c>
      <c r="F36" s="9">
        <f>Sheet4!F28</f>
        <v>0</v>
      </c>
      <c r="G36" s="9">
        <f>Sheet4!G28</f>
        <v>1</v>
      </c>
      <c r="H36" s="9">
        <f>Sheet4!H28</f>
        <v>1</v>
      </c>
      <c r="I36" s="9">
        <f>Sheet4!I28</f>
        <v>1</v>
      </c>
      <c r="J36" s="9">
        <f>Sheet4!J28</f>
        <v>1</v>
      </c>
      <c r="K36" s="9">
        <f>Sheet4!K28</f>
        <v>1</v>
      </c>
      <c r="L36" s="9">
        <f>Sheet4!L28</f>
        <v>1</v>
      </c>
      <c r="M36" s="9">
        <f>Sheet4!M28</f>
        <v>0</v>
      </c>
      <c r="N36" s="9">
        <f>Sheet4!N28</f>
        <v>1</v>
      </c>
      <c r="O36" s="9">
        <f>Sheet4!O28</f>
        <v>0</v>
      </c>
      <c r="P36" s="9">
        <f>Sheet4!P28</f>
        <v>1</v>
      </c>
      <c r="Q36" s="9">
        <f>Sheet4!Q28</f>
        <v>1</v>
      </c>
      <c r="R36" s="9">
        <f>Sheet4!R28</f>
        <v>0</v>
      </c>
      <c r="S36" s="9">
        <f>Sheet4!S28</f>
        <v>0</v>
      </c>
      <c r="T36" s="9">
        <f>Sheet4!T28</f>
        <v>0</v>
      </c>
      <c r="U36" s="9">
        <f>Sheet4!U28</f>
        <v>0</v>
      </c>
      <c r="V36" s="9">
        <f>Sheet4!V28</f>
        <v>0</v>
      </c>
      <c r="W36" s="9">
        <f>Sheet4!W28</f>
        <v>0</v>
      </c>
      <c r="X36" s="9">
        <f>Sheet4!X28</f>
        <v>0</v>
      </c>
      <c r="Y36" s="9">
        <f>Sheet4!Y28</f>
        <v>0</v>
      </c>
      <c r="Z36" s="9">
        <f>Sheet4!Z28</f>
        <v>0</v>
      </c>
      <c r="AA36" s="9">
        <f>Sheet4!AA28</f>
        <v>0</v>
      </c>
      <c r="AB36" s="9">
        <f>Sheet4!AB28</f>
        <v>0</v>
      </c>
      <c r="AC36" s="9">
        <f>Sheet4!AC28</f>
        <v>0</v>
      </c>
      <c r="AD36" s="9">
        <f>Sheet4!AD28</f>
        <v>1</v>
      </c>
      <c r="AE36" s="9">
        <f>Sheet4!AE28</f>
        <v>1</v>
      </c>
    </row>
    <row r="37" spans="1:31" ht="19.95" customHeight="1" x14ac:dyDescent="0.3">
      <c r="A37" s="10" t="s">
        <v>88</v>
      </c>
      <c r="B37" s="9">
        <f>Sheet4!B29</f>
        <v>0</v>
      </c>
      <c r="C37" s="9">
        <f>Sheet4!C29</f>
        <v>1</v>
      </c>
      <c r="D37" s="9">
        <f>Sheet4!D29</f>
        <v>1</v>
      </c>
      <c r="E37" s="9">
        <f>Sheet4!E29</f>
        <v>1</v>
      </c>
      <c r="F37" s="9">
        <f>Sheet4!F29</f>
        <v>1</v>
      </c>
      <c r="G37" s="9">
        <f>Sheet4!G29</f>
        <v>1</v>
      </c>
      <c r="H37" s="9">
        <f>Sheet4!H29</f>
        <v>1</v>
      </c>
      <c r="I37" s="9">
        <f>Sheet4!I29</f>
        <v>1</v>
      </c>
      <c r="J37" s="9">
        <f>Sheet4!J29</f>
        <v>1</v>
      </c>
      <c r="K37" s="9">
        <f>Sheet4!K29</f>
        <v>1</v>
      </c>
      <c r="L37" s="9">
        <f>Sheet4!L29</f>
        <v>1</v>
      </c>
      <c r="M37" s="9">
        <f>Sheet4!M29</f>
        <v>1</v>
      </c>
      <c r="N37" s="9">
        <f>Sheet4!N29</f>
        <v>0</v>
      </c>
      <c r="O37" s="9">
        <f>Sheet4!O29</f>
        <v>1</v>
      </c>
      <c r="P37" s="9">
        <f>Sheet4!P29</f>
        <v>0</v>
      </c>
      <c r="Q37" s="9">
        <f>Sheet4!Q29</f>
        <v>0</v>
      </c>
      <c r="R37" s="9">
        <f>Sheet4!R29</f>
        <v>0</v>
      </c>
      <c r="S37" s="9">
        <f>Sheet4!S29</f>
        <v>0</v>
      </c>
      <c r="T37" s="9">
        <f>Sheet4!T29</f>
        <v>0</v>
      </c>
      <c r="U37" s="9">
        <f>Sheet4!U29</f>
        <v>0</v>
      </c>
      <c r="V37" s="9">
        <f>Sheet4!V29</f>
        <v>0</v>
      </c>
      <c r="W37" s="9">
        <f>Sheet4!W29</f>
        <v>0</v>
      </c>
      <c r="X37" s="9">
        <f>Sheet4!X29</f>
        <v>0</v>
      </c>
      <c r="Y37" s="9">
        <f>Sheet4!Y29</f>
        <v>0</v>
      </c>
      <c r="Z37" s="9">
        <f>Sheet4!Z29</f>
        <v>0</v>
      </c>
      <c r="AA37" s="9">
        <f>Sheet4!AA29</f>
        <v>0</v>
      </c>
      <c r="AB37" s="9">
        <f>Sheet4!AB29</f>
        <v>0</v>
      </c>
      <c r="AC37" s="9">
        <f>Sheet4!AC29</f>
        <v>0</v>
      </c>
      <c r="AD37" s="9">
        <f>Sheet4!AD29</f>
        <v>1</v>
      </c>
      <c r="AE37" s="9">
        <f>Sheet4!AE29</f>
        <v>1</v>
      </c>
    </row>
    <row r="38" spans="1:31" ht="19.95" customHeight="1" x14ac:dyDescent="0.3">
      <c r="A38" s="10" t="s">
        <v>89</v>
      </c>
      <c r="B38" s="9">
        <f>Sheet4!B30</f>
        <v>0</v>
      </c>
      <c r="C38" s="9">
        <f>Sheet4!C30</f>
        <v>1</v>
      </c>
      <c r="D38" s="9">
        <f>Sheet4!D30</f>
        <v>1</v>
      </c>
      <c r="E38" s="9">
        <f>Sheet4!E30</f>
        <v>0</v>
      </c>
      <c r="F38" s="9">
        <f>Sheet4!F30</f>
        <v>0</v>
      </c>
      <c r="G38" s="9">
        <f>Sheet4!G30</f>
        <v>0</v>
      </c>
      <c r="H38" s="9">
        <f>Sheet4!H30</f>
        <v>0</v>
      </c>
      <c r="I38" s="9">
        <f>Sheet4!I30</f>
        <v>0</v>
      </c>
      <c r="J38" s="9">
        <f>Sheet4!J30</f>
        <v>0</v>
      </c>
      <c r="K38" s="9">
        <f>Sheet4!K30</f>
        <v>0</v>
      </c>
      <c r="L38" s="9">
        <f>Sheet4!L30</f>
        <v>0</v>
      </c>
      <c r="M38" s="9">
        <f>Sheet4!M30</f>
        <v>1</v>
      </c>
      <c r="N38" s="9">
        <f>Sheet4!N30</f>
        <v>1</v>
      </c>
      <c r="O38" s="9">
        <f>Sheet4!O30</f>
        <v>1</v>
      </c>
      <c r="P38" s="9">
        <f>Sheet4!P30</f>
        <v>1</v>
      </c>
      <c r="Q38" s="9">
        <f>Sheet4!Q30</f>
        <v>1</v>
      </c>
      <c r="R38" s="9">
        <f>Sheet4!R30</f>
        <v>0</v>
      </c>
      <c r="S38" s="9">
        <f>Sheet4!S30</f>
        <v>0</v>
      </c>
      <c r="T38" s="9">
        <f>Sheet4!T30</f>
        <v>0</v>
      </c>
      <c r="U38" s="9">
        <f>Sheet4!U30</f>
        <v>0</v>
      </c>
      <c r="V38" s="9">
        <f>Sheet4!V30</f>
        <v>0</v>
      </c>
      <c r="W38" s="9">
        <f>Sheet4!W30</f>
        <v>0</v>
      </c>
      <c r="X38" s="9">
        <f>Sheet4!X30</f>
        <v>0</v>
      </c>
      <c r="Y38" s="9">
        <f>Sheet4!Y30</f>
        <v>0</v>
      </c>
      <c r="Z38" s="9">
        <f>Sheet4!Z30</f>
        <v>0</v>
      </c>
      <c r="AA38" s="9">
        <f>Sheet4!AA30</f>
        <v>0</v>
      </c>
      <c r="AB38" s="9">
        <f>Sheet4!AB30</f>
        <v>0</v>
      </c>
      <c r="AC38" s="9">
        <f>Sheet4!AC30</f>
        <v>0</v>
      </c>
      <c r="AD38" s="9">
        <f>Sheet4!AD30</f>
        <v>1</v>
      </c>
      <c r="AE38" s="9">
        <f>Sheet4!AE30</f>
        <v>0</v>
      </c>
    </row>
    <row r="39" spans="1:31" ht="19.95" customHeight="1" x14ac:dyDescent="0.3">
      <c r="A39" s="10" t="s">
        <v>90</v>
      </c>
      <c r="B39" s="9">
        <f>Sheet4!B31</f>
        <v>0</v>
      </c>
      <c r="C39" s="9">
        <f>Sheet4!C31</f>
        <v>0</v>
      </c>
      <c r="D39" s="9">
        <f>Sheet4!D31</f>
        <v>0</v>
      </c>
      <c r="E39" s="9">
        <f>Sheet4!E31</f>
        <v>0</v>
      </c>
      <c r="F39" s="9">
        <f>Sheet4!F31</f>
        <v>0</v>
      </c>
      <c r="G39" s="9">
        <f>Sheet4!G31</f>
        <v>0</v>
      </c>
      <c r="H39" s="9">
        <f>Sheet4!H31</f>
        <v>1</v>
      </c>
      <c r="I39" s="9">
        <f>Sheet4!I31</f>
        <v>1</v>
      </c>
      <c r="J39" s="9">
        <f>Sheet4!J31</f>
        <v>1</v>
      </c>
      <c r="K39" s="9">
        <f>Sheet4!K31</f>
        <v>1</v>
      </c>
      <c r="L39" s="9">
        <f>Sheet4!L31</f>
        <v>1</v>
      </c>
      <c r="M39" s="9">
        <f>Sheet4!M31</f>
        <v>1</v>
      </c>
      <c r="N39" s="9">
        <f>Sheet4!N31</f>
        <v>1</v>
      </c>
      <c r="O39" s="9">
        <f>Sheet4!O31</f>
        <v>1</v>
      </c>
      <c r="P39" s="9">
        <f>Sheet4!P31</f>
        <v>1</v>
      </c>
      <c r="Q39" s="9">
        <f>Sheet4!Q31</f>
        <v>1</v>
      </c>
      <c r="R39" s="9">
        <f>Sheet4!R31</f>
        <v>1</v>
      </c>
      <c r="S39" s="9">
        <f>Sheet4!S31</f>
        <v>0</v>
      </c>
      <c r="T39" s="9">
        <f>Sheet4!T31</f>
        <v>0</v>
      </c>
      <c r="U39" s="9">
        <f>Sheet4!U31</f>
        <v>0</v>
      </c>
      <c r="V39" s="9">
        <f>Sheet4!V31</f>
        <v>1</v>
      </c>
      <c r="W39" s="9">
        <f>Sheet4!W31</f>
        <v>1</v>
      </c>
      <c r="X39" s="9">
        <f>Sheet4!X31</f>
        <v>1</v>
      </c>
      <c r="Y39" s="9">
        <f>Sheet4!Y31</f>
        <v>1</v>
      </c>
      <c r="Z39" s="9">
        <f>Sheet4!Z31</f>
        <v>0</v>
      </c>
      <c r="AA39" s="9">
        <f>Sheet4!AA31</f>
        <v>1</v>
      </c>
      <c r="AB39" s="9">
        <f>Sheet4!AB31</f>
        <v>1</v>
      </c>
      <c r="AC39" s="9">
        <f>Sheet4!AC31</f>
        <v>1</v>
      </c>
      <c r="AD39" s="9">
        <f>Sheet4!AD31</f>
        <v>1</v>
      </c>
      <c r="AE39" s="9">
        <f>Sheet4!AE31</f>
        <v>1</v>
      </c>
    </row>
    <row r="40" spans="1:31" ht="19.95" customHeight="1" x14ac:dyDescent="0.3">
      <c r="A40" s="10" t="s">
        <v>91</v>
      </c>
      <c r="B40" s="9">
        <f>Sheet4!B32</f>
        <v>0</v>
      </c>
      <c r="C40" s="9">
        <f>Sheet4!C32</f>
        <v>0</v>
      </c>
      <c r="D40" s="9">
        <f>Sheet4!D32</f>
        <v>0</v>
      </c>
      <c r="E40" s="9">
        <f>Sheet4!E32</f>
        <v>0</v>
      </c>
      <c r="F40" s="9">
        <f>Sheet4!F32</f>
        <v>0</v>
      </c>
      <c r="G40" s="9">
        <f>Sheet4!G32</f>
        <v>0</v>
      </c>
      <c r="H40" s="9">
        <f>Sheet4!H32</f>
        <v>1</v>
      </c>
      <c r="I40" s="9">
        <f>Sheet4!I32</f>
        <v>0</v>
      </c>
      <c r="J40" s="9">
        <f>Sheet4!J32</f>
        <v>1</v>
      </c>
      <c r="K40" s="9">
        <f>Sheet4!K32</f>
        <v>1</v>
      </c>
      <c r="L40" s="9">
        <f>Sheet4!L32</f>
        <v>1</v>
      </c>
      <c r="M40" s="9">
        <f>Sheet4!M32</f>
        <v>1</v>
      </c>
      <c r="N40" s="9">
        <f>Sheet4!N32</f>
        <v>1</v>
      </c>
      <c r="O40" s="9">
        <f>Sheet4!O32</f>
        <v>0</v>
      </c>
      <c r="P40" s="9">
        <f>Sheet4!P32</f>
        <v>0</v>
      </c>
      <c r="Q40" s="9">
        <f>Sheet4!Q32</f>
        <v>0</v>
      </c>
      <c r="R40" s="9">
        <f>Sheet4!R32</f>
        <v>0</v>
      </c>
      <c r="S40" s="9">
        <f>Sheet4!S32</f>
        <v>0</v>
      </c>
      <c r="T40" s="9">
        <f>Sheet4!T32</f>
        <v>0</v>
      </c>
      <c r="U40" s="9">
        <f>Sheet4!U32</f>
        <v>0</v>
      </c>
      <c r="V40" s="9">
        <f>Sheet4!V32</f>
        <v>0</v>
      </c>
      <c r="W40" s="9">
        <f>Sheet4!W32</f>
        <v>0</v>
      </c>
      <c r="X40" s="9">
        <f>Sheet4!X32</f>
        <v>0</v>
      </c>
      <c r="Y40" s="9">
        <f>Sheet4!Y32</f>
        <v>0</v>
      </c>
      <c r="Z40" s="9">
        <f>Sheet4!Z32</f>
        <v>0</v>
      </c>
      <c r="AA40" s="9">
        <f>Sheet4!AA32</f>
        <v>0</v>
      </c>
      <c r="AB40" s="9">
        <f>Sheet4!AB32</f>
        <v>0</v>
      </c>
      <c r="AC40" s="9">
        <f>Sheet4!AC32</f>
        <v>0</v>
      </c>
      <c r="AD40" s="9">
        <f>Sheet4!AD32</f>
        <v>0</v>
      </c>
      <c r="AE40" s="9">
        <f>Sheet4!AE32</f>
        <v>0</v>
      </c>
    </row>
    <row r="41" spans="1:31" x14ac:dyDescent="0.3">
      <c r="B41">
        <f t="shared" ref="B41:J41" si="0">B12</f>
        <v>0</v>
      </c>
      <c r="C41">
        <f t="shared" si="0"/>
        <v>0</v>
      </c>
      <c r="D41">
        <f t="shared" si="0"/>
        <v>0</v>
      </c>
      <c r="E41">
        <f t="shared" si="0"/>
        <v>0</v>
      </c>
      <c r="F41">
        <f t="shared" si="0"/>
        <v>0</v>
      </c>
      <c r="G41">
        <f t="shared" si="0"/>
        <v>0</v>
      </c>
      <c r="H41">
        <f t="shared" si="0"/>
        <v>0</v>
      </c>
      <c r="I41">
        <f t="shared" si="0"/>
        <v>0</v>
      </c>
      <c r="J41">
        <f t="shared" si="0"/>
        <v>0</v>
      </c>
    </row>
    <row r="42" spans="1:31" x14ac:dyDescent="0.3">
      <c r="B42" t="s">
        <v>62</v>
      </c>
    </row>
    <row r="43" spans="1:31" x14ac:dyDescent="0.3">
      <c r="B43" t="s">
        <v>63</v>
      </c>
    </row>
    <row r="44" spans="1:31" x14ac:dyDescent="0.3">
      <c r="B44" t="s">
        <v>64</v>
      </c>
    </row>
    <row r="45" spans="1:31" x14ac:dyDescent="0.3">
      <c r="B45" t="s">
        <v>65</v>
      </c>
    </row>
    <row r="46" spans="1:31" x14ac:dyDescent="0.3">
      <c r="B46" t="s">
        <v>66</v>
      </c>
    </row>
    <row r="47" spans="1:31" x14ac:dyDescent="0.3">
      <c r="B47" t="s">
        <v>67</v>
      </c>
    </row>
    <row r="48" spans="1:31" x14ac:dyDescent="0.3">
      <c r="B48" t="s">
        <v>68</v>
      </c>
    </row>
    <row r="49" spans="2:2" x14ac:dyDescent="0.3">
      <c r="B49" t="s">
        <v>69</v>
      </c>
    </row>
    <row r="50" spans="2:2" x14ac:dyDescent="0.3">
      <c r="B50" t="s">
        <v>70</v>
      </c>
    </row>
    <row r="51" spans="2:2" x14ac:dyDescent="0.3">
      <c r="B51" t="s">
        <v>71</v>
      </c>
    </row>
    <row r="52" spans="2:2" x14ac:dyDescent="0.3">
      <c r="B52" t="s">
        <v>72</v>
      </c>
    </row>
    <row r="53" spans="2:2" x14ac:dyDescent="0.3">
      <c r="B53" t="s">
        <v>73</v>
      </c>
    </row>
    <row r="54" spans="2:2" x14ac:dyDescent="0.3">
      <c r="B54" t="s">
        <v>74</v>
      </c>
    </row>
    <row r="55" spans="2:2" x14ac:dyDescent="0.3">
      <c r="B55" t="s">
        <v>75</v>
      </c>
    </row>
    <row r="56" spans="2:2" x14ac:dyDescent="0.3">
      <c r="B56" t="s">
        <v>76</v>
      </c>
    </row>
    <row r="57" spans="2:2" x14ac:dyDescent="0.3">
      <c r="B57" t="s">
        <v>77</v>
      </c>
    </row>
    <row r="58" spans="2:2" x14ac:dyDescent="0.3">
      <c r="B58" t="s">
        <v>78</v>
      </c>
    </row>
    <row r="59" spans="2:2" x14ac:dyDescent="0.3">
      <c r="B59" t="s">
        <v>79</v>
      </c>
    </row>
  </sheetData>
  <mergeCells count="1">
    <mergeCell ref="AI4:AL11"/>
  </mergeCells>
  <phoneticPr fontId="2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8E5A4-648E-45B1-A363-EF8CCF78F26E}">
  <dimension ref="AF1:BP55"/>
  <sheetViews>
    <sheetView topLeftCell="B5" zoomScale="80" zoomScaleNormal="80" workbookViewId="0">
      <selection activeCell="AI44" sqref="AI44"/>
    </sheetView>
  </sheetViews>
  <sheetFormatPr defaultRowHeight="14.4" x14ac:dyDescent="0.3"/>
  <cols>
    <col min="1" max="1" width="32.88671875" bestFit="1" customWidth="1"/>
    <col min="2" max="10" width="5.5546875" bestFit="1" customWidth="1"/>
    <col min="11" max="31" width="6.5546875" bestFit="1" customWidth="1"/>
    <col min="32" max="32" width="7.33203125" customWidth="1"/>
    <col min="33" max="33" width="26.109375" bestFit="1" customWidth="1"/>
    <col min="35" max="35" width="15.109375" bestFit="1" customWidth="1"/>
    <col min="36" max="36" width="10" bestFit="1" customWidth="1"/>
    <col min="38" max="38" width="9.33203125" bestFit="1" customWidth="1"/>
    <col min="72" max="72" width="26.109375" bestFit="1" customWidth="1"/>
  </cols>
  <sheetData>
    <row r="1" spans="32:68" ht="19.8" customHeight="1" x14ac:dyDescent="0.4">
      <c r="AF1" s="8" t="s">
        <v>40</v>
      </c>
      <c r="AG1" s="8" t="s">
        <v>41</v>
      </c>
      <c r="BP1" t="s">
        <v>47</v>
      </c>
    </row>
    <row r="2" spans="32:68" ht="15.6" customHeight="1" x14ac:dyDescent="0.3">
      <c r="AF2">
        <f>COUNTIF(Sheet4!B23:AE23,1)</f>
        <v>8</v>
      </c>
      <c r="AG2" s="1">
        <f t="shared" ref="AG2:AG11" si="0">AF2/30</f>
        <v>0.26666666666666666</v>
      </c>
    </row>
    <row r="3" spans="32:68" ht="15.6" customHeight="1" x14ac:dyDescent="0.3">
      <c r="AF3">
        <f>COUNTIF(Sheet4!B24:AE24,1)</f>
        <v>0</v>
      </c>
      <c r="AG3" s="1">
        <f t="shared" si="0"/>
        <v>0</v>
      </c>
    </row>
    <row r="4" spans="32:68" x14ac:dyDescent="0.3">
      <c r="AF4">
        <f>COUNTIF(Sheet4!B25:AE25,1)</f>
        <v>3</v>
      </c>
      <c r="AG4" s="1">
        <f t="shared" si="0"/>
        <v>0.1</v>
      </c>
    </row>
    <row r="5" spans="32:68" x14ac:dyDescent="0.3">
      <c r="AF5">
        <f>COUNTIF(Sheet4!B26:AE26,1)</f>
        <v>4</v>
      </c>
      <c r="AG5" s="1">
        <f t="shared" si="0"/>
        <v>0.13333333333333333</v>
      </c>
    </row>
    <row r="6" spans="32:68" x14ac:dyDescent="0.3">
      <c r="AF6">
        <f>COUNTIF(Sheet4!B27:AE27,1)</f>
        <v>1</v>
      </c>
      <c r="AG6" s="1">
        <f t="shared" si="0"/>
        <v>3.3333333333333333E-2</v>
      </c>
    </row>
    <row r="7" spans="32:68" x14ac:dyDescent="0.3">
      <c r="AF7">
        <f>COUNTIF(Sheet4!B28:AE28,1)</f>
        <v>11</v>
      </c>
      <c r="AG7" s="1">
        <f t="shared" si="0"/>
        <v>0.36666666666666664</v>
      </c>
    </row>
    <row r="8" spans="32:68" x14ac:dyDescent="0.3">
      <c r="AF8">
        <f>COUNTIF(Sheet4!B29:AE29,1)</f>
        <v>14</v>
      </c>
      <c r="AG8" s="1">
        <f t="shared" si="0"/>
        <v>0.46666666666666667</v>
      </c>
    </row>
    <row r="9" spans="32:68" x14ac:dyDescent="0.3">
      <c r="AF9">
        <f>COUNTIF(Sheet4!B30:AE30,1)</f>
        <v>8</v>
      </c>
      <c r="AG9" s="1">
        <f t="shared" si="0"/>
        <v>0.26666666666666666</v>
      </c>
    </row>
    <row r="10" spans="32:68" x14ac:dyDescent="0.3">
      <c r="AF10">
        <f>COUNTIF(Sheet4!B31:AE31,1)</f>
        <v>20</v>
      </c>
      <c r="AG10" s="1">
        <f t="shared" si="0"/>
        <v>0.66666666666666663</v>
      </c>
    </row>
    <row r="11" spans="32:68" x14ac:dyDescent="0.3">
      <c r="AF11">
        <f>COUNTIF(Sheet4!B32:AE32,1)</f>
        <v>6</v>
      </c>
      <c r="AG11" s="1">
        <f t="shared" si="0"/>
        <v>0.2</v>
      </c>
    </row>
    <row r="12" spans="32:68" ht="19.8" x14ac:dyDescent="0.4">
      <c r="AG12" s="2" t="s">
        <v>42</v>
      </c>
    </row>
    <row r="13" spans="32:68" ht="25.2" x14ac:dyDescent="0.5">
      <c r="AG13" s="13">
        <f>AVERAGE(AG2:AG11)</f>
        <v>0.25</v>
      </c>
    </row>
    <row r="14" spans="32:68" x14ac:dyDescent="0.3">
      <c r="AH14" t="s">
        <v>48</v>
      </c>
      <c r="AI14" t="s">
        <v>49</v>
      </c>
    </row>
    <row r="15" spans="32:68" x14ac:dyDescent="0.3">
      <c r="AH15" t="s">
        <v>50</v>
      </c>
      <c r="AI15">
        <f>COUNTIF(Sheet4!B23:B32,1)</f>
        <v>1</v>
      </c>
      <c r="AJ15" t="s">
        <v>92</v>
      </c>
      <c r="AK15" t="s">
        <v>93</v>
      </c>
    </row>
    <row r="16" spans="32:68" x14ac:dyDescent="0.3">
      <c r="AH16" t="s">
        <v>51</v>
      </c>
      <c r="AI16">
        <f>COUNTIF(Sheet4!C23:C32,1)</f>
        <v>3</v>
      </c>
      <c r="AJ16" t="s">
        <v>94</v>
      </c>
      <c r="AK16">
        <v>37</v>
      </c>
    </row>
    <row r="17" spans="34:37" x14ac:dyDescent="0.3">
      <c r="AH17" t="s">
        <v>52</v>
      </c>
      <c r="AI17">
        <f>COUNTIF(Sheet4!D23:D32,1)</f>
        <v>3</v>
      </c>
      <c r="AJ17" t="s">
        <v>95</v>
      </c>
      <c r="AK17">
        <v>63</v>
      </c>
    </row>
    <row r="18" spans="34:37" x14ac:dyDescent="0.3">
      <c r="AH18" t="s">
        <v>53</v>
      </c>
      <c r="AI18">
        <f>COUNTIF(Sheet4!E23:E32,1)</f>
        <v>2</v>
      </c>
    </row>
    <row r="19" spans="34:37" x14ac:dyDescent="0.3">
      <c r="AH19" t="s">
        <v>54</v>
      </c>
      <c r="AI19">
        <f>COUNTIF(Sheet4!F23:F32,1)</f>
        <v>2</v>
      </c>
    </row>
    <row r="20" spans="34:37" x14ac:dyDescent="0.3">
      <c r="AH20" t="s">
        <v>55</v>
      </c>
      <c r="AI20">
        <f>COUNTIF(Sheet4!G23:G32,1)</f>
        <v>3</v>
      </c>
    </row>
    <row r="21" spans="34:37" x14ac:dyDescent="0.3">
      <c r="AH21" t="s">
        <v>56</v>
      </c>
      <c r="AI21">
        <f>COUNTIF(Sheet4!H23:H32,1)</f>
        <v>5</v>
      </c>
    </row>
    <row r="22" spans="34:37" x14ac:dyDescent="0.3">
      <c r="AH22" t="s">
        <v>57</v>
      </c>
      <c r="AI22">
        <f>COUNTIF(Sheet4!I23:I32,1)</f>
        <v>3</v>
      </c>
    </row>
    <row r="23" spans="34:37" x14ac:dyDescent="0.3">
      <c r="AH23" t="s">
        <v>58</v>
      </c>
      <c r="AI23">
        <f>COUNTIF(Sheet4!J23:J32,1)</f>
        <v>4</v>
      </c>
    </row>
    <row r="24" spans="34:37" x14ac:dyDescent="0.3">
      <c r="AH24" t="s">
        <v>59</v>
      </c>
      <c r="AI24">
        <f>COUNTIF(Sheet4!K23:K32,1)</f>
        <v>4</v>
      </c>
    </row>
    <row r="25" spans="34:37" x14ac:dyDescent="0.3">
      <c r="AH25" t="s">
        <v>60</v>
      </c>
      <c r="AI25">
        <f>COUNTIF(Sheet4!L23:L32,1)</f>
        <v>4</v>
      </c>
    </row>
    <row r="26" spans="34:37" x14ac:dyDescent="0.3">
      <c r="AH26" t="s">
        <v>61</v>
      </c>
      <c r="AI26">
        <f>COUNTIF(Sheet4!M23:M32,1)</f>
        <v>4</v>
      </c>
    </row>
    <row r="27" spans="34:37" x14ac:dyDescent="0.3">
      <c r="AH27" t="s">
        <v>62</v>
      </c>
      <c r="AI27">
        <f>COUNTIF(Sheet4!N23:N32,1)</f>
        <v>4</v>
      </c>
    </row>
    <row r="28" spans="34:37" x14ac:dyDescent="0.3">
      <c r="AH28" t="s">
        <v>63</v>
      </c>
      <c r="AI28">
        <f>COUNTIF(Sheet4!O23:O32,1)</f>
        <v>3</v>
      </c>
    </row>
    <row r="29" spans="34:37" x14ac:dyDescent="0.3">
      <c r="AH29" t="s">
        <v>64</v>
      </c>
      <c r="AI29">
        <f>COUNTIF(Sheet4!P23:P32,1)</f>
        <v>3</v>
      </c>
    </row>
    <row r="30" spans="34:37" x14ac:dyDescent="0.3">
      <c r="AH30" t="s">
        <v>65</v>
      </c>
      <c r="AI30">
        <f>COUNTIF(Sheet4!Q23:Q32,1)</f>
        <v>3</v>
      </c>
    </row>
    <row r="31" spans="34:37" x14ac:dyDescent="0.3">
      <c r="AH31" t="s">
        <v>66</v>
      </c>
      <c r="AI31">
        <f>COUNTIF(Sheet4!R23:R32,1)</f>
        <v>1</v>
      </c>
    </row>
    <row r="32" spans="34:37" x14ac:dyDescent="0.3">
      <c r="AH32" t="s">
        <v>67</v>
      </c>
      <c r="AI32">
        <f>COUNTIF(Sheet4!S23:S32,1)</f>
        <v>2</v>
      </c>
    </row>
    <row r="33" spans="34:36" x14ac:dyDescent="0.3">
      <c r="AH33" t="s">
        <v>68</v>
      </c>
      <c r="AI33">
        <f>COUNTIF(Sheet4!T23:T32,1)</f>
        <v>1</v>
      </c>
    </row>
    <row r="34" spans="34:36" x14ac:dyDescent="0.3">
      <c r="AH34" t="s">
        <v>69</v>
      </c>
      <c r="AI34">
        <f>COUNTIF(Sheet4!U23:U32,1)</f>
        <v>2</v>
      </c>
    </row>
    <row r="35" spans="34:36" x14ac:dyDescent="0.3">
      <c r="AH35" t="s">
        <v>70</v>
      </c>
      <c r="AI35">
        <f>COUNTIF(Sheet4!V23:V32,1)</f>
        <v>1</v>
      </c>
    </row>
    <row r="36" spans="34:36" x14ac:dyDescent="0.3">
      <c r="AH36" t="s">
        <v>71</v>
      </c>
      <c r="AI36">
        <f>COUNTIF(Sheet4!W23:W32,1)</f>
        <v>1</v>
      </c>
    </row>
    <row r="37" spans="34:36" x14ac:dyDescent="0.3">
      <c r="AH37" t="s">
        <v>72</v>
      </c>
      <c r="AI37">
        <f>COUNTIF(Sheet4!X23:X32,1)</f>
        <v>2</v>
      </c>
    </row>
    <row r="38" spans="34:36" x14ac:dyDescent="0.3">
      <c r="AH38" t="s">
        <v>73</v>
      </c>
      <c r="AI38">
        <f>COUNTIF(Sheet4!Y23:Y32,1)</f>
        <v>1</v>
      </c>
    </row>
    <row r="39" spans="34:36" x14ac:dyDescent="0.3">
      <c r="AH39" t="s">
        <v>74</v>
      </c>
      <c r="AI39">
        <f>COUNTIF(Sheet4!Z23:Z32,1)</f>
        <v>0</v>
      </c>
    </row>
    <row r="40" spans="34:36" x14ac:dyDescent="0.3">
      <c r="AH40" t="s">
        <v>75</v>
      </c>
      <c r="AI40">
        <f>COUNTIF(Sheet4!AA23:AA32,1)</f>
        <v>1</v>
      </c>
    </row>
    <row r="41" spans="34:36" x14ac:dyDescent="0.3">
      <c r="AH41" t="s">
        <v>76</v>
      </c>
      <c r="AI41">
        <f>COUNTIF(Sheet4!AB23:AB32,1)</f>
        <v>1</v>
      </c>
    </row>
    <row r="42" spans="34:36" x14ac:dyDescent="0.3">
      <c r="AH42" t="s">
        <v>77</v>
      </c>
      <c r="AI42">
        <f>COUNTIF(Sheet4!AC23:AC32,1)</f>
        <v>1</v>
      </c>
    </row>
    <row r="43" spans="34:36" x14ac:dyDescent="0.3">
      <c r="AH43" t="s">
        <v>78</v>
      </c>
      <c r="AI43">
        <f>COUNTIF(Sheet4!AD23:AD32,1)</f>
        <v>7</v>
      </c>
    </row>
    <row r="44" spans="34:36" x14ac:dyDescent="0.3">
      <c r="AH44" t="s">
        <v>79</v>
      </c>
      <c r="AI44">
        <f>COUNTIF(Sheet4!AE23:AE32,1)</f>
        <v>3</v>
      </c>
    </row>
    <row r="48" spans="34:36" x14ac:dyDescent="0.3">
      <c r="AJ48">
        <f>COUNTIF(B36:B41,1)</f>
        <v>0</v>
      </c>
    </row>
    <row r="49" spans="36:36" x14ac:dyDescent="0.3">
      <c r="AJ49">
        <f>COUNTIF(B37:B41,1)</f>
        <v>0</v>
      </c>
    </row>
    <row r="50" spans="36:36" x14ac:dyDescent="0.3">
      <c r="AJ50">
        <f>COUNTIF(B38:B41,1)</f>
        <v>0</v>
      </c>
    </row>
    <row r="51" spans="36:36" x14ac:dyDescent="0.3">
      <c r="AJ51">
        <f>COUNTIF(B39:B41,1)</f>
        <v>0</v>
      </c>
    </row>
    <row r="52" spans="36:36" x14ac:dyDescent="0.3">
      <c r="AJ52">
        <f>COUNTIF(B40:B41,1)</f>
        <v>0</v>
      </c>
    </row>
    <row r="53" spans="36:36" x14ac:dyDescent="0.3">
      <c r="AJ53">
        <f>COUNTIF(B41:B41,1)</f>
        <v>0</v>
      </c>
    </row>
    <row r="54" spans="36:36" x14ac:dyDescent="0.3">
      <c r="AJ54" t="e">
        <f>COUNTIF(#REF!,1)</f>
        <v>#REF!</v>
      </c>
    </row>
    <row r="55" spans="36:36" x14ac:dyDescent="0.3">
      <c r="AJ55" t="e">
        <f>COUNTIF(#REF!,1)</f>
        <v>#REF!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AE3B-8E7A-4343-B30D-167D03567455}">
  <dimension ref="A1"/>
  <sheetViews>
    <sheetView zoomScale="80" zoomScaleNormal="80" workbookViewId="0">
      <selection activeCell="E4" sqref="E4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121CB-BC5C-473E-9BDD-83F3624E3121}">
  <dimension ref="A1:N2"/>
  <sheetViews>
    <sheetView zoomScale="40" zoomScaleNormal="40" workbookViewId="0">
      <selection activeCell="Q29" sqref="Q29"/>
    </sheetView>
  </sheetViews>
  <sheetFormatPr defaultRowHeight="14.4" x14ac:dyDescent="0.3"/>
  <cols>
    <col min="1" max="1" width="15.44140625" bestFit="1" customWidth="1"/>
  </cols>
  <sheetData>
    <row r="1" spans="1:14" x14ac:dyDescent="0.3">
      <c r="A1" t="s">
        <v>47</v>
      </c>
    </row>
    <row r="2" spans="1:14" x14ac:dyDescent="0.3">
      <c r="N2" s="16">
        <f>Sheet1!AG13</f>
        <v>0.25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F0C7-04DB-442D-9411-9465B614F7AA}">
  <dimension ref="E1:AQ39"/>
  <sheetViews>
    <sheetView zoomScale="60" zoomScaleNormal="60" workbookViewId="0">
      <selection activeCell="AD26" sqref="AD26"/>
    </sheetView>
  </sheetViews>
  <sheetFormatPr defaultRowHeight="14.4" x14ac:dyDescent="0.3"/>
  <cols>
    <col min="1" max="1" width="28.33203125" bestFit="1" customWidth="1"/>
    <col min="2" max="2" width="4.88671875" customWidth="1"/>
    <col min="3" max="3" width="5.109375" customWidth="1"/>
    <col min="4" max="4" width="5" customWidth="1"/>
    <col min="5" max="5" width="5.21875" customWidth="1"/>
    <col min="6" max="9" width="5.109375" customWidth="1"/>
    <col min="10" max="10" width="5.21875" customWidth="1"/>
    <col min="11" max="11" width="6.109375" customWidth="1"/>
    <col min="12" max="12" width="6" customWidth="1"/>
    <col min="13" max="13" width="6.109375" customWidth="1"/>
    <col min="14" max="15" width="5.88671875" customWidth="1"/>
    <col min="16" max="16" width="6" customWidth="1"/>
    <col min="17" max="17" width="6.109375" customWidth="1"/>
    <col min="18" max="18" width="6" customWidth="1"/>
    <col min="19" max="19" width="5.88671875" customWidth="1"/>
    <col min="20" max="20" width="6" customWidth="1"/>
    <col min="21" max="21" width="6.109375" customWidth="1"/>
    <col min="22" max="22" width="6.33203125" customWidth="1"/>
    <col min="23" max="24" width="6.5546875" bestFit="1" customWidth="1"/>
    <col min="25" max="25" width="6.21875" customWidth="1"/>
    <col min="26" max="28" width="6.5546875" bestFit="1" customWidth="1"/>
    <col min="29" max="29" width="6.88671875" customWidth="1"/>
    <col min="30" max="31" width="6.5546875" bestFit="1" customWidth="1"/>
  </cols>
  <sheetData>
    <row r="1" spans="5:43" ht="11.4" customHeight="1" x14ac:dyDescent="0.3"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</row>
    <row r="2" spans="5:43" ht="10.8" customHeight="1" x14ac:dyDescent="0.3"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</row>
    <row r="3" spans="5:43" x14ac:dyDescent="0.3"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</row>
    <row r="4" spans="5:43" x14ac:dyDescent="0.3"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5:43" x14ac:dyDescent="0.3"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</row>
    <row r="6" spans="5:43" x14ac:dyDescent="0.3"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</row>
    <row r="7" spans="5:43" x14ac:dyDescent="0.3"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</row>
    <row r="8" spans="5:43" x14ac:dyDescent="0.3"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</row>
    <row r="9" spans="5:43" x14ac:dyDescent="0.3"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</row>
    <row r="16" spans="5:43" ht="19.8" x14ac:dyDescent="0.4">
      <c r="M16" s="2" t="s">
        <v>43</v>
      </c>
      <c r="N16" t="s">
        <v>10</v>
      </c>
      <c r="O16" t="s">
        <v>11</v>
      </c>
      <c r="P16" t="s">
        <v>12</v>
      </c>
      <c r="Q16" t="s">
        <v>13</v>
      </c>
      <c r="R16" t="s">
        <v>14</v>
      </c>
      <c r="S16" t="s">
        <v>15</v>
      </c>
      <c r="T16" t="s">
        <v>16</v>
      </c>
      <c r="U16" t="s">
        <v>17</v>
      </c>
      <c r="V16" t="s">
        <v>18</v>
      </c>
      <c r="W16" t="s">
        <v>19</v>
      </c>
      <c r="X16" t="s">
        <v>20</v>
      </c>
      <c r="Y16" t="s">
        <v>21</v>
      </c>
      <c r="Z16" t="s">
        <v>38</v>
      </c>
      <c r="AA16" t="s">
        <v>22</v>
      </c>
      <c r="AB16" t="s">
        <v>23</v>
      </c>
      <c r="AC16" t="s">
        <v>24</v>
      </c>
      <c r="AD16" t="s">
        <v>25</v>
      </c>
      <c r="AE16" t="s">
        <v>26</v>
      </c>
      <c r="AF16" t="s">
        <v>27</v>
      </c>
      <c r="AG16" t="s">
        <v>28</v>
      </c>
      <c r="AH16" t="s">
        <v>29</v>
      </c>
      <c r="AI16" t="s">
        <v>30</v>
      </c>
      <c r="AJ16" t="s">
        <v>31</v>
      </c>
      <c r="AK16" t="s">
        <v>32</v>
      </c>
      <c r="AL16" t="s">
        <v>39</v>
      </c>
      <c r="AM16" t="s">
        <v>33</v>
      </c>
      <c r="AN16" t="s">
        <v>34</v>
      </c>
      <c r="AO16" t="s">
        <v>35</v>
      </c>
      <c r="AP16" t="s">
        <v>36</v>
      </c>
      <c r="AQ16" t="s">
        <v>37</v>
      </c>
    </row>
    <row r="17" spans="13:43" ht="15" x14ac:dyDescent="0.3">
      <c r="M17" s="3" t="s">
        <v>0</v>
      </c>
      <c r="N17" s="4">
        <v>1</v>
      </c>
      <c r="O17" s="5">
        <v>1</v>
      </c>
      <c r="P17" s="5">
        <v>1</v>
      </c>
      <c r="Q17" s="5">
        <v>1</v>
      </c>
      <c r="R17" s="5">
        <v>1</v>
      </c>
      <c r="S17" s="5">
        <v>1</v>
      </c>
      <c r="T17" s="5">
        <v>1</v>
      </c>
      <c r="U17" s="5">
        <v>1</v>
      </c>
      <c r="V17" s="5">
        <v>1</v>
      </c>
      <c r="W17" s="5">
        <v>1</v>
      </c>
      <c r="X17" s="5">
        <v>1</v>
      </c>
      <c r="Y17" s="5">
        <v>0</v>
      </c>
      <c r="Z17" s="5">
        <v>1</v>
      </c>
      <c r="AA17" s="5">
        <v>1</v>
      </c>
      <c r="AB17" s="5">
        <v>1</v>
      </c>
      <c r="AC17" s="5">
        <v>1</v>
      </c>
      <c r="AD17" s="5">
        <v>1</v>
      </c>
      <c r="AE17" s="5">
        <v>1</v>
      </c>
      <c r="AF17" s="5">
        <v>1</v>
      </c>
      <c r="AG17" s="5">
        <v>1</v>
      </c>
      <c r="AH17" s="5">
        <v>1</v>
      </c>
      <c r="AI17" s="5">
        <v>1</v>
      </c>
      <c r="AJ17" s="5">
        <v>1</v>
      </c>
      <c r="AK17" s="5">
        <v>1</v>
      </c>
      <c r="AL17" s="5">
        <v>1</v>
      </c>
      <c r="AM17" s="5">
        <v>1</v>
      </c>
      <c r="AN17" s="5">
        <v>1</v>
      </c>
      <c r="AO17" s="5">
        <v>1</v>
      </c>
      <c r="AP17" s="5">
        <v>1</v>
      </c>
      <c r="AQ17" s="5">
        <v>1</v>
      </c>
    </row>
    <row r="18" spans="13:43" ht="15" x14ac:dyDescent="0.3">
      <c r="M18" s="3" t="s">
        <v>9</v>
      </c>
      <c r="N18" s="4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</row>
    <row r="19" spans="13:43" x14ac:dyDescent="0.3">
      <c r="M19" s="3" t="s">
        <v>1</v>
      </c>
      <c r="N19" s="5">
        <v>1</v>
      </c>
      <c r="O19" s="5">
        <v>1</v>
      </c>
      <c r="P19" s="5">
        <v>1</v>
      </c>
      <c r="Q19" s="5">
        <v>1</v>
      </c>
      <c r="R19" s="5">
        <v>1</v>
      </c>
      <c r="S19" s="5">
        <v>1</v>
      </c>
      <c r="T19" s="5">
        <v>1</v>
      </c>
      <c r="U19" s="5"/>
      <c r="V19" s="5">
        <v>1</v>
      </c>
      <c r="W19" s="5">
        <v>1</v>
      </c>
      <c r="X19" s="5">
        <v>0</v>
      </c>
      <c r="Y19" s="5">
        <v>1</v>
      </c>
      <c r="Z19" s="5">
        <v>1</v>
      </c>
      <c r="AA19" s="5">
        <v>1</v>
      </c>
      <c r="AB19" s="5">
        <v>1</v>
      </c>
      <c r="AC19" s="5">
        <v>1</v>
      </c>
      <c r="AD19" s="5">
        <v>1</v>
      </c>
      <c r="AE19" s="5">
        <v>1</v>
      </c>
      <c r="AF19" s="5">
        <v>1</v>
      </c>
      <c r="AG19" s="5">
        <v>1</v>
      </c>
      <c r="AH19" s="5">
        <v>1</v>
      </c>
      <c r="AI19" s="5">
        <v>1</v>
      </c>
      <c r="AJ19" s="5">
        <v>1</v>
      </c>
      <c r="AK19" s="5">
        <v>1</v>
      </c>
      <c r="AL19" s="5">
        <v>1</v>
      </c>
      <c r="AM19" s="5">
        <v>0</v>
      </c>
      <c r="AN19" s="5"/>
      <c r="AO19" s="5"/>
      <c r="AP19" s="5">
        <v>0</v>
      </c>
      <c r="AQ19" s="5"/>
    </row>
    <row r="20" spans="13:43" x14ac:dyDescent="0.3">
      <c r="M20" s="3" t="s">
        <v>2</v>
      </c>
      <c r="N20" s="5">
        <v>1</v>
      </c>
      <c r="O20" s="5">
        <v>1</v>
      </c>
      <c r="P20" s="5">
        <v>0</v>
      </c>
      <c r="Q20" s="5">
        <v>1</v>
      </c>
      <c r="R20" s="5">
        <f>S23</f>
        <v>1</v>
      </c>
      <c r="S20" s="5">
        <v>1</v>
      </c>
      <c r="T20" s="5">
        <v>1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1</v>
      </c>
      <c r="AB20" s="5">
        <v>1</v>
      </c>
      <c r="AC20" s="5">
        <v>1</v>
      </c>
      <c r="AD20" s="5">
        <v>1</v>
      </c>
      <c r="AE20" s="5">
        <v>1</v>
      </c>
      <c r="AF20" s="5">
        <v>1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/>
      <c r="AP20" s="5">
        <v>0</v>
      </c>
      <c r="AQ20" s="5">
        <v>1</v>
      </c>
    </row>
    <row r="21" spans="13:43" x14ac:dyDescent="0.3">
      <c r="M21" s="3" t="s">
        <v>3</v>
      </c>
      <c r="N21" s="5">
        <v>1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  <c r="Y21" s="5">
        <v>1</v>
      </c>
      <c r="Z21" s="5">
        <v>1</v>
      </c>
      <c r="AA21" s="5">
        <v>1</v>
      </c>
      <c r="AB21" s="5">
        <v>1</v>
      </c>
      <c r="AC21" s="5">
        <v>1</v>
      </c>
      <c r="AD21" s="5">
        <v>1</v>
      </c>
      <c r="AE21" s="5">
        <v>1</v>
      </c>
      <c r="AF21" s="5">
        <v>1</v>
      </c>
      <c r="AG21" s="5">
        <v>1</v>
      </c>
      <c r="AH21" s="5">
        <v>1</v>
      </c>
      <c r="AI21" s="5">
        <v>1</v>
      </c>
      <c r="AJ21" s="5">
        <v>1</v>
      </c>
      <c r="AK21" s="5">
        <v>1</v>
      </c>
      <c r="AL21" s="5">
        <v>1</v>
      </c>
      <c r="AM21" s="5">
        <v>1</v>
      </c>
      <c r="AN21" s="5">
        <v>1</v>
      </c>
      <c r="AO21" s="5">
        <v>1</v>
      </c>
      <c r="AP21" s="5">
        <v>0</v>
      </c>
      <c r="AQ21" s="5"/>
    </row>
    <row r="22" spans="13:43" x14ac:dyDescent="0.3">
      <c r="M22" s="3" t="s">
        <v>4</v>
      </c>
      <c r="N22" s="5">
        <v>1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1</v>
      </c>
      <c r="U22" s="5">
        <v>1</v>
      </c>
      <c r="V22" s="5">
        <v>1</v>
      </c>
      <c r="W22" s="5">
        <v>1</v>
      </c>
      <c r="X22" s="5">
        <v>1</v>
      </c>
      <c r="Y22" s="5">
        <v>0</v>
      </c>
      <c r="Z22" s="5">
        <v>1</v>
      </c>
      <c r="AA22" s="5">
        <v>0</v>
      </c>
      <c r="AB22" s="5">
        <v>1</v>
      </c>
      <c r="AC22" s="5">
        <v>1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/>
      <c r="AP22" s="5">
        <v>0</v>
      </c>
      <c r="AQ22" s="5">
        <v>1</v>
      </c>
    </row>
    <row r="23" spans="13:43" x14ac:dyDescent="0.3">
      <c r="M23" s="3" t="s">
        <v>5</v>
      </c>
      <c r="N23" s="5">
        <v>1</v>
      </c>
      <c r="O23" s="5">
        <v>1</v>
      </c>
      <c r="P23" s="5">
        <v>1</v>
      </c>
      <c r="Q23" s="5">
        <v>1</v>
      </c>
      <c r="R23" s="5">
        <v>1</v>
      </c>
      <c r="S23" s="5">
        <v>1</v>
      </c>
      <c r="T23" s="5">
        <v>1</v>
      </c>
      <c r="U23" s="5">
        <v>1</v>
      </c>
      <c r="V23" s="5">
        <v>1</v>
      </c>
      <c r="W23" s="5">
        <v>1</v>
      </c>
      <c r="X23" s="5">
        <v>1</v>
      </c>
      <c r="Y23" s="5">
        <v>1</v>
      </c>
      <c r="Z23" s="5">
        <v>1</v>
      </c>
      <c r="AA23" s="5">
        <v>1</v>
      </c>
      <c r="AB23" s="5">
        <v>1</v>
      </c>
      <c r="AC23" s="5">
        <v>1</v>
      </c>
      <c r="AD23" s="5">
        <v>1</v>
      </c>
      <c r="AE23" s="5">
        <v>1</v>
      </c>
      <c r="AF23" s="5">
        <v>1</v>
      </c>
      <c r="AG23" s="5">
        <v>1</v>
      </c>
      <c r="AH23" s="5">
        <v>1</v>
      </c>
      <c r="AI23" s="5">
        <v>1</v>
      </c>
      <c r="AJ23" s="5">
        <v>1</v>
      </c>
      <c r="AK23" s="5">
        <v>1</v>
      </c>
      <c r="AL23" s="5">
        <v>1</v>
      </c>
      <c r="AM23" s="5">
        <v>1</v>
      </c>
      <c r="AN23" s="5">
        <v>1</v>
      </c>
      <c r="AO23" s="5">
        <v>1</v>
      </c>
      <c r="AP23" s="5">
        <v>0</v>
      </c>
      <c r="AQ23" s="5">
        <v>1</v>
      </c>
    </row>
    <row r="24" spans="13:43" x14ac:dyDescent="0.3">
      <c r="M24" s="3" t="s">
        <v>6</v>
      </c>
      <c r="N24" s="5">
        <v>1</v>
      </c>
      <c r="O24" s="5">
        <v>1</v>
      </c>
      <c r="P24" s="5">
        <v>1</v>
      </c>
      <c r="Q24" s="5">
        <f>Sheet1!R42</f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1</v>
      </c>
      <c r="Z24" s="5">
        <v>1</v>
      </c>
      <c r="AA24" s="5">
        <v>1</v>
      </c>
      <c r="AB24" s="5">
        <v>1</v>
      </c>
      <c r="AC24" s="5">
        <v>1</v>
      </c>
      <c r="AD24" s="5"/>
      <c r="AE24" s="5"/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/>
    </row>
    <row r="25" spans="13:43" x14ac:dyDescent="0.3">
      <c r="M25" s="3" t="s">
        <v>7</v>
      </c>
      <c r="N25" s="5">
        <v>1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1</v>
      </c>
      <c r="V25" s="5">
        <v>1</v>
      </c>
      <c r="W25" s="5">
        <v>1</v>
      </c>
      <c r="X25" s="5">
        <v>1</v>
      </c>
      <c r="Y25" s="5">
        <v>1</v>
      </c>
      <c r="Z25" s="5">
        <v>1</v>
      </c>
      <c r="AA25" s="5">
        <v>1</v>
      </c>
      <c r="AB25" s="5">
        <v>1</v>
      </c>
      <c r="AC25" s="5">
        <v>1</v>
      </c>
      <c r="AD25" s="5">
        <v>1</v>
      </c>
      <c r="AE25" s="5"/>
      <c r="AF25" s="5">
        <v>0</v>
      </c>
      <c r="AG25" s="5">
        <v>0</v>
      </c>
      <c r="AH25" s="5">
        <v>1</v>
      </c>
      <c r="AI25" s="5">
        <v>1</v>
      </c>
      <c r="AJ25" s="5">
        <v>1</v>
      </c>
      <c r="AK25" s="5">
        <v>1</v>
      </c>
      <c r="AL25" s="5"/>
      <c r="AM25" s="5">
        <v>1</v>
      </c>
      <c r="AN25" s="5">
        <v>1</v>
      </c>
      <c r="AO25" s="5">
        <v>1</v>
      </c>
      <c r="AP25" s="5">
        <v>0</v>
      </c>
      <c r="AQ25" s="5">
        <v>1</v>
      </c>
    </row>
    <row r="26" spans="13:43" x14ac:dyDescent="0.3">
      <c r="M26" s="3" t="s">
        <v>8</v>
      </c>
      <c r="N26" s="5">
        <v>1</v>
      </c>
      <c r="O26" s="5"/>
      <c r="P26" s="5"/>
      <c r="Q26" s="5"/>
      <c r="R26" s="5"/>
      <c r="S26" s="5"/>
      <c r="T26" s="5">
        <v>1</v>
      </c>
      <c r="U26" s="5"/>
      <c r="V26" s="5">
        <v>1</v>
      </c>
      <c r="W26" s="5">
        <v>1</v>
      </c>
      <c r="X26" s="5">
        <v>1</v>
      </c>
      <c r="Y26" s="5">
        <v>1</v>
      </c>
      <c r="Z26" s="5">
        <v>1</v>
      </c>
      <c r="AA26" s="5">
        <v>0</v>
      </c>
      <c r="AB26" s="5">
        <v>0</v>
      </c>
      <c r="AC26" s="5">
        <v>1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/>
    </row>
    <row r="28" spans="13:43" x14ac:dyDescent="0.3">
      <c r="AF28" s="18"/>
    </row>
    <row r="38" spans="30:30" x14ac:dyDescent="0.3">
      <c r="AD38" s="18"/>
    </row>
    <row r="39" spans="30:30" x14ac:dyDescent="0.3">
      <c r="AD39" s="18"/>
    </row>
  </sheetData>
  <mergeCells count="4">
    <mergeCell ref="E1:I9"/>
    <mergeCell ref="J1:N9"/>
    <mergeCell ref="O1:S9"/>
    <mergeCell ref="T1:X9"/>
  </mergeCells>
  <conditionalFormatting sqref="N17">
    <cfRule type="cellIs" dxfId="15" priority="6" operator="equal">
      <formula>1</formula>
    </cfRule>
  </conditionalFormatting>
  <conditionalFormatting sqref="N18">
    <cfRule type="cellIs" dxfId="14" priority="5" operator="equal">
      <formula>0</formula>
    </cfRule>
  </conditionalFormatting>
  <conditionalFormatting sqref="N17:AQ26">
    <cfRule type="cellIs" dxfId="13" priority="1" operator="equal">
      <formula>0</formula>
    </cfRule>
    <cfRule type="cellIs" dxfId="12" priority="2" operator="equal">
      <formula>1</formula>
    </cfRule>
    <cfRule type="cellIs" dxfId="11" priority="3" operator="equal">
      <formula>1</formula>
    </cfRule>
    <cfRule type="cellIs" dxfId="10" priority="4" operator="equal">
      <formula>0</formula>
    </cfRule>
  </conditionalFormatting>
  <conditionalFormatting sqref="AF28 AD38:AD39">
    <cfRule type="cellIs" dxfId="9" priority="7" operator="equal">
      <formula>0</formula>
    </cfRule>
    <cfRule type="cellIs" dxfId="8" priority="8" operator="equal">
      <formula>1</formula>
    </cfRule>
    <cfRule type="cellIs" dxfId="7" priority="9" operator="equal">
      <formula>1</formula>
    </cfRule>
    <cfRule type="cellIs" dxfId="6" priority="10" operator="equal">
      <formula>0</formula>
    </cfRule>
  </conditionalFormatting>
  <dataValidations count="1">
    <dataValidation type="list" allowBlank="1" showInputMessage="1" showErrorMessage="1" sqref="N16:X26" xr:uid="{549AE6CF-F5AA-46A3-9190-12F7D5755343}">
      <formula1>"1,0"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BFCAD-A9BA-4F60-A3BD-E35DAFEC4EFC}">
  <dimension ref="A1:AG34"/>
  <sheetViews>
    <sheetView tabSelected="1" zoomScaleNormal="100" workbookViewId="0">
      <selection activeCell="AD32" sqref="AD32"/>
    </sheetView>
  </sheetViews>
  <sheetFormatPr defaultRowHeight="14.4" x14ac:dyDescent="0.3"/>
  <cols>
    <col min="1" max="1" width="23.77734375" customWidth="1"/>
    <col min="2" max="10" width="5.5546875" bestFit="1" customWidth="1"/>
    <col min="11" max="11" width="6.5546875" bestFit="1" customWidth="1"/>
    <col min="12" max="12" width="6.109375" customWidth="1"/>
    <col min="13" max="13" width="6" customWidth="1"/>
    <col min="14" max="14" width="5.88671875" customWidth="1"/>
    <col min="15" max="16" width="6.109375" customWidth="1"/>
    <col min="17" max="17" width="5.88671875" customWidth="1"/>
    <col min="18" max="18" width="6" customWidth="1"/>
    <col min="19" max="19" width="5.88671875" customWidth="1"/>
    <col min="20" max="20" width="6.109375" customWidth="1"/>
    <col min="21" max="21" width="6.33203125" customWidth="1"/>
    <col min="22" max="22" width="5.88671875" customWidth="1"/>
    <col min="23" max="31" width="6.5546875" bestFit="1" customWidth="1"/>
  </cols>
  <sheetData>
    <row r="1" spans="1:33" x14ac:dyDescent="0.3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</row>
    <row r="2" spans="1:33" x14ac:dyDescent="0.3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</row>
    <row r="3" spans="1:33" x14ac:dyDescent="0.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</row>
    <row r="4" spans="1:33" x14ac:dyDescent="0.3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</row>
    <row r="5" spans="1:33" x14ac:dyDescent="0.3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</row>
    <row r="6" spans="1:33" x14ac:dyDescent="0.3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</row>
    <row r="7" spans="1:33" x14ac:dyDescent="0.3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</row>
    <row r="8" spans="1:33" x14ac:dyDescent="0.3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</row>
    <row r="9" spans="1:33" x14ac:dyDescent="0.3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</row>
    <row r="10" spans="1:33" x14ac:dyDescent="0.3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</row>
    <row r="11" spans="1:33" x14ac:dyDescent="0.3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</row>
    <row r="12" spans="1:33" x14ac:dyDescent="0.3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</row>
    <row r="13" spans="1:33" x14ac:dyDescent="0.3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</row>
    <row r="14" spans="1:33" x14ac:dyDescent="0.3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</row>
    <row r="15" spans="1:33" x14ac:dyDescent="0.3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</row>
    <row r="16" spans="1:33" x14ac:dyDescent="0.3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</row>
    <row r="17" spans="1:33" x14ac:dyDescent="0.3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</row>
    <row r="18" spans="1:33" x14ac:dyDescent="0.3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</row>
    <row r="19" spans="1:33" x14ac:dyDescent="0.3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</row>
    <row r="20" spans="1:33" x14ac:dyDescent="0.3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</row>
    <row r="21" spans="1:33" ht="15" thickBot="1" x14ac:dyDescent="0.3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5"/>
      <c r="AG21" s="25"/>
    </row>
    <row r="22" spans="1:33" ht="21" thickTop="1" thickBot="1" x14ac:dyDescent="0.45">
      <c r="A22" s="19" t="s">
        <v>99</v>
      </c>
      <c r="B22" s="20" t="s">
        <v>10</v>
      </c>
      <c r="C22" s="20" t="s">
        <v>11</v>
      </c>
      <c r="D22" s="20" t="s">
        <v>12</v>
      </c>
      <c r="E22" s="20" t="s">
        <v>13</v>
      </c>
      <c r="F22" s="20" t="s">
        <v>14</v>
      </c>
      <c r="G22" s="20" t="s">
        <v>15</v>
      </c>
      <c r="H22" s="20" t="s">
        <v>16</v>
      </c>
      <c r="I22" s="20" t="s">
        <v>17</v>
      </c>
      <c r="J22" s="20" t="s">
        <v>18</v>
      </c>
      <c r="K22" s="20" t="s">
        <v>19</v>
      </c>
      <c r="L22" s="20" t="s">
        <v>20</v>
      </c>
      <c r="M22" s="20" t="s">
        <v>21</v>
      </c>
      <c r="N22" s="20" t="s">
        <v>38</v>
      </c>
      <c r="O22" s="20" t="s">
        <v>22</v>
      </c>
      <c r="P22" s="20" t="s">
        <v>23</v>
      </c>
      <c r="Q22" s="20" t="s">
        <v>24</v>
      </c>
      <c r="R22" s="20" t="s">
        <v>25</v>
      </c>
      <c r="S22" s="20" t="s">
        <v>26</v>
      </c>
      <c r="T22" s="20" t="s">
        <v>27</v>
      </c>
      <c r="U22" s="20" t="s">
        <v>28</v>
      </c>
      <c r="V22" s="20" t="s">
        <v>29</v>
      </c>
      <c r="W22" s="20" t="s">
        <v>30</v>
      </c>
      <c r="X22" s="20" t="s">
        <v>31</v>
      </c>
      <c r="Y22" s="20" t="s">
        <v>32</v>
      </c>
      <c r="Z22" s="20" t="s">
        <v>39</v>
      </c>
      <c r="AA22" s="20" t="s">
        <v>33</v>
      </c>
      <c r="AB22" s="20" t="s">
        <v>34</v>
      </c>
      <c r="AC22" s="20" t="s">
        <v>35</v>
      </c>
      <c r="AD22" s="20" t="s">
        <v>36</v>
      </c>
      <c r="AE22" s="20" t="s">
        <v>37</v>
      </c>
      <c r="AF22" s="25"/>
      <c r="AG22" s="25"/>
    </row>
    <row r="23" spans="1:33" ht="16.2" thickTop="1" thickBot="1" x14ac:dyDescent="0.35">
      <c r="A23" s="21" t="s">
        <v>0</v>
      </c>
      <c r="B23" s="22">
        <v>1</v>
      </c>
      <c r="C23" s="23">
        <v>1</v>
      </c>
      <c r="D23" s="23">
        <v>1</v>
      </c>
      <c r="E23" s="23">
        <v>1</v>
      </c>
      <c r="F23" s="23">
        <v>1</v>
      </c>
      <c r="G23" s="23">
        <v>1</v>
      </c>
      <c r="H23" s="23">
        <v>1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1</v>
      </c>
      <c r="Y23" s="23">
        <v>0</v>
      </c>
      <c r="Z23" s="23">
        <v>0</v>
      </c>
      <c r="AA23" s="23">
        <v>0</v>
      </c>
      <c r="AB23" s="23">
        <v>0</v>
      </c>
      <c r="AC23" s="23"/>
      <c r="AD23" s="23"/>
      <c r="AE23" s="23"/>
      <c r="AF23" s="25"/>
      <c r="AG23" s="25"/>
    </row>
    <row r="24" spans="1:33" ht="18" thickTop="1" thickBot="1" x14ac:dyDescent="0.45">
      <c r="A24" s="21" t="s">
        <v>100</v>
      </c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>
        <v>0</v>
      </c>
      <c r="AC24" s="23"/>
      <c r="AD24" s="23"/>
      <c r="AE24" s="23"/>
      <c r="AF24" s="25"/>
      <c r="AG24" s="25"/>
    </row>
    <row r="25" spans="1:33" ht="15.6" thickTop="1" thickBot="1" x14ac:dyDescent="0.35">
      <c r="A25" s="21" t="s">
        <v>1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>
        <v>1</v>
      </c>
      <c r="T25" s="23"/>
      <c r="U25" s="23">
        <v>1</v>
      </c>
      <c r="V25" s="23"/>
      <c r="W25" s="23"/>
      <c r="X25" s="23"/>
      <c r="Y25" s="23"/>
      <c r="Z25" s="23"/>
      <c r="AA25" s="23"/>
      <c r="AB25" s="23">
        <v>0</v>
      </c>
      <c r="AC25" s="23"/>
      <c r="AD25" s="23">
        <v>1</v>
      </c>
      <c r="AE25" s="23"/>
      <c r="AF25" s="25"/>
      <c r="AG25" s="25"/>
    </row>
    <row r="26" spans="1:33" ht="15.6" thickTop="1" thickBot="1" x14ac:dyDescent="0.35">
      <c r="A26" s="21" t="s">
        <v>2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>
        <v>1</v>
      </c>
      <c r="T26" s="23">
        <v>1</v>
      </c>
      <c r="U26" s="23">
        <v>1</v>
      </c>
      <c r="V26" s="23"/>
      <c r="W26" s="23"/>
      <c r="X26" s="23"/>
      <c r="Y26" s="23"/>
      <c r="Z26" s="23"/>
      <c r="AA26" s="23"/>
      <c r="AB26" s="23">
        <v>0</v>
      </c>
      <c r="AC26" s="23"/>
      <c r="AD26" s="23">
        <v>1</v>
      </c>
      <c r="AE26" s="23"/>
      <c r="AF26" s="25"/>
      <c r="AG26" s="25"/>
    </row>
    <row r="27" spans="1:33" ht="15.6" thickTop="1" thickBot="1" x14ac:dyDescent="0.35">
      <c r="A27" s="21" t="s">
        <v>3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>
        <v>1</v>
      </c>
      <c r="AE27" s="23"/>
      <c r="AF27" s="25"/>
      <c r="AG27" s="25"/>
    </row>
    <row r="28" spans="1:33" ht="15.6" thickTop="1" thickBot="1" x14ac:dyDescent="0.35">
      <c r="A28" s="21" t="s">
        <v>4</v>
      </c>
      <c r="B28" s="23"/>
      <c r="C28" s="23">
        <v>0</v>
      </c>
      <c r="D28" s="23">
        <v>0</v>
      </c>
      <c r="E28" s="23">
        <v>0</v>
      </c>
      <c r="F28" s="23">
        <v>0</v>
      </c>
      <c r="G28" s="23">
        <v>1</v>
      </c>
      <c r="H28" s="23">
        <v>1</v>
      </c>
      <c r="I28" s="23">
        <v>1</v>
      </c>
      <c r="J28" s="23">
        <v>1</v>
      </c>
      <c r="K28" s="23">
        <v>1</v>
      </c>
      <c r="L28" s="23">
        <v>1</v>
      </c>
      <c r="M28" s="23">
        <v>0</v>
      </c>
      <c r="N28" s="23">
        <v>1</v>
      </c>
      <c r="O28" s="23">
        <v>0</v>
      </c>
      <c r="P28" s="23">
        <v>1</v>
      </c>
      <c r="Q28" s="23">
        <v>1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/>
      <c r="AD28" s="23">
        <v>1</v>
      </c>
      <c r="AE28" s="23">
        <v>1</v>
      </c>
      <c r="AF28" s="25"/>
      <c r="AG28" s="25"/>
    </row>
    <row r="29" spans="1:33" ht="15.6" thickTop="1" thickBot="1" x14ac:dyDescent="0.35">
      <c r="A29" s="21" t="s">
        <v>5</v>
      </c>
      <c r="B29" s="23"/>
      <c r="C29" s="23">
        <v>1</v>
      </c>
      <c r="D29" s="23">
        <v>1</v>
      </c>
      <c r="E29" s="23">
        <v>1</v>
      </c>
      <c r="F29" s="23">
        <v>1</v>
      </c>
      <c r="G29" s="23">
        <v>1</v>
      </c>
      <c r="H29" s="23">
        <v>1</v>
      </c>
      <c r="I29" s="23">
        <v>1</v>
      </c>
      <c r="J29" s="23">
        <v>1</v>
      </c>
      <c r="K29" s="23">
        <v>1</v>
      </c>
      <c r="L29" s="23">
        <v>1</v>
      </c>
      <c r="M29" s="23">
        <v>1</v>
      </c>
      <c r="N29" s="23">
        <v>0</v>
      </c>
      <c r="O29" s="23">
        <v>1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1</v>
      </c>
      <c r="AE29" s="23">
        <v>1</v>
      </c>
      <c r="AF29" s="25"/>
      <c r="AG29" s="25"/>
    </row>
    <row r="30" spans="1:33" ht="15.6" thickTop="1" thickBot="1" x14ac:dyDescent="0.35">
      <c r="A30" s="21" t="s">
        <v>6</v>
      </c>
      <c r="B30" s="23"/>
      <c r="C30" s="23">
        <v>1</v>
      </c>
      <c r="D30" s="23">
        <v>1</v>
      </c>
      <c r="E30" s="23">
        <f>Sheet1!F53</f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1</v>
      </c>
      <c r="N30" s="23">
        <v>1</v>
      </c>
      <c r="O30" s="23">
        <v>1</v>
      </c>
      <c r="P30" s="23">
        <v>1</v>
      </c>
      <c r="Q30" s="23">
        <v>1</v>
      </c>
      <c r="R30" s="23"/>
      <c r="S30" s="23"/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1</v>
      </c>
      <c r="AE30" s="23"/>
      <c r="AF30" s="25"/>
      <c r="AG30" s="25"/>
    </row>
    <row r="31" spans="1:33" ht="15.6" thickTop="1" thickBot="1" x14ac:dyDescent="0.35">
      <c r="A31" s="21" t="s">
        <v>7</v>
      </c>
      <c r="B31" s="23"/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v>1</v>
      </c>
      <c r="I31" s="23">
        <v>1</v>
      </c>
      <c r="J31" s="23">
        <v>1</v>
      </c>
      <c r="K31" s="23">
        <v>1</v>
      </c>
      <c r="L31" s="23">
        <v>1</v>
      </c>
      <c r="M31" s="23">
        <v>1</v>
      </c>
      <c r="N31" s="23">
        <v>1</v>
      </c>
      <c r="O31" s="23">
        <v>1</v>
      </c>
      <c r="P31" s="23">
        <v>1</v>
      </c>
      <c r="Q31" s="23">
        <v>1</v>
      </c>
      <c r="R31" s="23">
        <v>1</v>
      </c>
      <c r="S31" s="23"/>
      <c r="T31" s="23">
        <v>0</v>
      </c>
      <c r="U31" s="23">
        <v>0</v>
      </c>
      <c r="V31" s="23">
        <v>1</v>
      </c>
      <c r="W31" s="23">
        <v>1</v>
      </c>
      <c r="X31" s="23">
        <v>1</v>
      </c>
      <c r="Y31" s="23">
        <v>1</v>
      </c>
      <c r="Z31" s="23"/>
      <c r="AA31" s="23">
        <v>1</v>
      </c>
      <c r="AB31" s="23">
        <v>1</v>
      </c>
      <c r="AC31" s="23">
        <v>1</v>
      </c>
      <c r="AD31" s="23">
        <v>1</v>
      </c>
      <c r="AE31" s="23">
        <v>1</v>
      </c>
      <c r="AF31" s="25"/>
      <c r="AG31" s="25"/>
    </row>
    <row r="32" spans="1:33" ht="15.6" thickTop="1" thickBot="1" x14ac:dyDescent="0.35">
      <c r="A32" s="21" t="s">
        <v>8</v>
      </c>
      <c r="B32" s="23"/>
      <c r="C32" s="23"/>
      <c r="D32" s="23"/>
      <c r="E32" s="23"/>
      <c r="F32" s="23"/>
      <c r="G32" s="23"/>
      <c r="H32" s="23">
        <v>1</v>
      </c>
      <c r="I32" s="23"/>
      <c r="J32" s="23">
        <v>1</v>
      </c>
      <c r="K32" s="23">
        <v>1</v>
      </c>
      <c r="L32" s="23">
        <v>1</v>
      </c>
      <c r="M32" s="23">
        <v>1</v>
      </c>
      <c r="N32" s="23">
        <v>1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23">
        <v>0</v>
      </c>
      <c r="AC32" s="23">
        <v>0</v>
      </c>
      <c r="AD32" s="23">
        <v>0</v>
      </c>
      <c r="AE32" s="23"/>
      <c r="AF32" s="25"/>
      <c r="AG32" s="25"/>
    </row>
    <row r="33" spans="32:33" ht="15" thickTop="1" x14ac:dyDescent="0.3">
      <c r="AF33" s="25"/>
      <c r="AG33" s="25"/>
    </row>
    <row r="34" spans="32:33" x14ac:dyDescent="0.3">
      <c r="AF34" s="25"/>
      <c r="AG34" s="25"/>
    </row>
  </sheetData>
  <mergeCells count="2">
    <mergeCell ref="AF1:AG34"/>
    <mergeCell ref="A1:AE21"/>
  </mergeCells>
  <conditionalFormatting sqref="B23">
    <cfRule type="cellIs" dxfId="5" priority="6" operator="equal">
      <formula>1</formula>
    </cfRule>
  </conditionalFormatting>
  <conditionalFormatting sqref="B24">
    <cfRule type="cellIs" dxfId="4" priority="5" operator="equal">
      <formula>0</formula>
    </cfRule>
  </conditionalFormatting>
  <conditionalFormatting sqref="B23:AE32">
    <cfRule type="cellIs" dxfId="3" priority="1" operator="equal">
      <formula>0</formula>
    </cfRule>
    <cfRule type="cellIs" dxfId="2" priority="2" operator="equal">
      <formula>1</formula>
    </cfRule>
    <cfRule type="cellIs" dxfId="1" priority="3" operator="equal">
      <formula>1</formula>
    </cfRule>
    <cfRule type="cellIs" dxfId="0" priority="4" operator="equal">
      <formula>0</formula>
    </cfRule>
  </conditionalFormatting>
  <dataValidations count="1">
    <dataValidation type="list" allowBlank="1" showInputMessage="1" showErrorMessage="1" sqref="B22:L32" xr:uid="{549AE6CF-F5AA-46A3-9190-12F7D5755343}">
      <formula1>"1,0"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DASSBOARD</vt:lpstr>
      <vt:lpstr>Sheet1</vt:lpstr>
      <vt:lpstr>Sheet2</vt:lpstr>
      <vt:lpstr>Sheet3</vt:lpstr>
      <vt:lpstr>final project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manish singh</cp:lastModifiedBy>
  <dcterms:created xsi:type="dcterms:W3CDTF">2026-09-06T07:25:41Z</dcterms:created>
  <dcterms:modified xsi:type="dcterms:W3CDTF">2026-09-12T06:07:16Z</dcterms:modified>
</cp:coreProperties>
</file>